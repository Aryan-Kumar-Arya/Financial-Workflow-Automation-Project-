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ryankumararya/Downloads/"/>
    </mc:Choice>
  </mc:AlternateContent>
  <xr:revisionPtr revIDLastSave="0" documentId="13_ncr:1_{64F4DE05-CA38-D64E-AB6C-327344D75EF0}" xr6:coauthVersionLast="47" xr6:coauthVersionMax="47" xr10:uidLastSave="{00000000-0000-0000-0000-000000000000}"/>
  <bookViews>
    <workbookView xWindow="-4200" yWindow="-21600" windowWidth="38400" windowHeight="21600" xr2:uid="{00000000-000D-0000-FFFF-FFFF00000000}"/>
  </bookViews>
  <sheets>
    <sheet name="Query" sheetId="10" r:id="rId1"/>
    <sheet name="Summary" sheetId="1" r:id="rId2"/>
    <sheet name="Manpower Projection" sheetId="3" r:id="rId3"/>
    <sheet name="Labor Projection" sheetId="4" r:id="rId4"/>
    <sheet name="Materials" sheetId="5" r:id="rId5"/>
    <sheet name="DATA" sheetId="6" state="hidden" r:id="rId6"/>
    <sheet name="Sheet7" sheetId="7" state="hidden" r:id="rId7"/>
    <sheet name="Labor Performance" sheetId="8" state="hidden" r:id="rId8"/>
  </sheets>
  <definedNames>
    <definedName name="__Complete_Materials" comment="Materials">Materials!$M$12</definedName>
    <definedName name="__Variance_Materials" comment="Materials">Materials!$O$12</definedName>
    <definedName name="_Change_Order_Labor_Dollar_Est___Labor_Projection" comment="Labor_Projection">'Labor Projection'!$P$12</definedName>
    <definedName name="_Current_Labor_Dollar_Estimate__Labor_Projection" comment="Labor_Projection">'Labor Projection'!$Q$12</definedName>
    <definedName name="_Current_Labor_Dollar_Estimate__NTPLH" comment="NTPLH">'Labor Projection'!$Q$16</definedName>
    <definedName name="_Est____Hour__Labor_Projection" comment="Labor_Projection">'Labor Projection'!$V$12</definedName>
    <definedName name="_Est__Total_Labor__Labor_Projection" comment="Labor_Projection">'Labor Projection'!$T$12</definedName>
    <definedName name="_Est__Total_Labor__NTPLH" comment="NTPLH">'Labor Projection'!$T$16</definedName>
    <definedName name="_Est_Labor_to_Complete_Labor_Projection" comment="Labor_Projection">'Labor Projection'!$S$12</definedName>
    <definedName name="_Est_Labor_to_Complete_NTPLH" comment="NTPLH">'Labor Projection'!$S$16</definedName>
    <definedName name="_JTD____Hr__Labor_Projection" comment="Labor_Projection">'Labor Projection'!$W$12</definedName>
    <definedName name="_JTD_Labor_Cost__Labor_Projection" comment="Labor_Projection">'Labor Projection'!$R$12</definedName>
    <definedName name="_JTD_Labor_Cost__NTPLH" comment="NTPLH">'Labor Projection'!$R$16</definedName>
    <definedName name="_Original_Labor_Dollar_Est___Labor_Projection" comment="Labor_Projection">'Labor Projection'!$O$12</definedName>
    <definedName name="_TOTAL_LABOR_HOURS__ContractStatus" comment="ContractStatus">#REF!</definedName>
    <definedName name="_Under____Over____Labor_Projection" comment="Labor_Projection">'Labor Projection'!$X$12</definedName>
    <definedName name="_Under____Over___Labor_Projection" comment="Labor_Projection">'Labor Projection'!$U$12</definedName>
    <definedName name="_Under____Over__Labor_Projection" comment="Labor_Projection">'Labor Projection'!$N$12</definedName>
    <definedName name="_Under__Over_NTPLH" comment="NTPLH">'Labor Projection'!$U$16</definedName>
    <definedName name="ABC_NTPLH" comment="NTPLH">'Labor Projection'!$B$16</definedName>
    <definedName name="Actual_Composite_rate_dashboard" comment="dashboard">Sheet7!$V$5</definedName>
    <definedName name="Actual_Gross_Margin_dashboard" comment="dashboard">Sheet7!$J$5</definedName>
    <definedName name="Actual_Manhour_dashboard" comment="dashboard">Sheet7!$I$5</definedName>
    <definedName name="AR_Aged_Current_dashboard" comment="dashboard">Sheet7!$X$5</definedName>
    <definedName name="ARAged130days_dashboard" comment="dashboard">Sheet7!$Y$5</definedName>
    <definedName name="ARAged3160days_dashboard" comment="dashboard">Sheet7!$Z$5</definedName>
    <definedName name="ARAged6190days_dashboard" comment="dashboard">Sheet7!$AA$5</definedName>
    <definedName name="ARAgedover90days_dashboard" comment="dashboard">Sheet7!$AB$5</definedName>
    <definedName name="Base_Hrs_to_Complete_Labor_Projection" comment="Labor_Projection">'Labor Projection'!$I$12</definedName>
    <definedName name="Base_Hrs_to_Complete_NTPLH" comment="NTPLH">'Labor Projection'!$I$16</definedName>
    <definedName name="bid_day_Labor_Performance_Factor_dashboard" comment="dashboard">Sheet7!$M$5</definedName>
    <definedName name="Bid_day_Labor_Performance_Factor_Labor_Performance" comment="Labor_Performance">'Labor Performance'!$F$3</definedName>
    <definedName name="Change_Order_Hours_Estimate_Labor_Projection" comment="Labor_Projection">'Labor Projection'!$E$12</definedName>
    <definedName name="Change_Order_Hours_Estimate_NTPLH" comment="NTPLH">'Labor Projection'!$E$16</definedName>
    <definedName name="Change_Order_Labor_Dollar_Est__NTPLH" comment="NTPLH">'Labor Projection'!$P$16</definedName>
    <definedName name="Change_Orders_Estimate_Materials" comment="Materials">Materials!$F$12</definedName>
    <definedName name="CO_Date_ContractStatus" comment="ContractStatus">#REF!</definedName>
    <definedName name="Composite_Rate_ContractStatus" comment="ContractStatus">#REF!</definedName>
    <definedName name="Composite_Rate_Variance_dashboard" comment="dashboard">Sheet7!$W$5</definedName>
    <definedName name="Cost_Type_Labor_Projection" comment="Labor_Projection">'Labor Projection'!$C$12</definedName>
    <definedName name="Cost_Type_Materials" comment="Materials">Materials!$B$12</definedName>
    <definedName name="CostType1_Materials" comment="Materials">Materials!$C$12</definedName>
    <definedName name="Current_Estimate_Materials" comment="Materials">Materials!$G$12</definedName>
    <definedName name="Current_Labor_Hours_Estimate_Labor_Projection" comment="Labor_Projection">'Labor Projection'!$F$12</definedName>
    <definedName name="Current_Labor_Hours_Estimate_NTPLH" comment="NTPLH">'Labor Projection'!$F$16</definedName>
    <definedName name="Current_Labor_Performance_Factor_dashboard" comment="dashboard">Sheet7!$H$5</definedName>
    <definedName name="Department_dashboard" comment="dashboard">Sheet7!$C$5</definedName>
    <definedName name="Description_ContractStatus" comment="ContractStatus">#REF!</definedName>
    <definedName name="EOPeriodDate_dashboard" comment="dashboard">Sheet7!$E$5</definedName>
    <definedName name="EOPeriodDate_Labor_Performance" comment="Labor_Performance">'Labor Performance'!$C$3</definedName>
    <definedName name="Est____Complete_Labor_Projection" comment="Labor_Projection">'Labor Projection'!$H$12</definedName>
    <definedName name="Est____Complete_NTPLH" comment="NTPLH">'Labor Projection'!$H$16</definedName>
    <definedName name="Est____Hour_NTPLH" comment="NTPLH">'Labor Projection'!$V$16</definedName>
    <definedName name="Est_CompleteATYE_dashboard" comment="dashboard">Sheet7!$N$5</definedName>
    <definedName name="Estimated___Complete___YE_Block26" comment="Block26">Summary!$J$42</definedName>
    <definedName name="Estimated___Complete___YE_Block28" comment="Block28">Summary!$J$42</definedName>
    <definedName name="Estimated_Composite_Rate_dashboard" comment="dashboard">Sheet7!$U$5</definedName>
    <definedName name="Estimated_Future_Costs_Materials" comment="Materials">Materials!$K$12</definedName>
    <definedName name="Estimated_Gross_Margin_dashboard" comment="dashboard">Sheet7!$G$5</definedName>
    <definedName name="Estimated_Manhours_dashboard" comment="dashboard">Sheet7!$F$5</definedName>
    <definedName name="GC_CO__ContractStatus" comment="ContractStatus">#REF!</definedName>
    <definedName name="JCE_Date_ContractStatus" comment="ContractStatus">#REF!</definedName>
    <definedName name="Job_dashboard" comment="dashboard">Sheet7!$B$5</definedName>
    <definedName name="JTD____Hr_NTPLH" comment="NTPLH">'Labor Projection'!$W$16</definedName>
    <definedName name="JTD___Open_Materials" comment="Materials">Materials!$J$12</definedName>
    <definedName name="JTD_Billings_dashboard" comment="dashboard">Sheet7!$O$5</definedName>
    <definedName name="JTD_collected_dashboard" comment="dashboard">Sheet7!$R$5</definedName>
    <definedName name="JTD_Cost_dashboard" comment="dashboard">Sheet7!$S$5</definedName>
    <definedName name="JTD_Hours_Labor_Projection" comment="Labor_Projection">'Labor Projection'!$G$12</definedName>
    <definedName name="JTD_Hours_NTPLH" comment="NTPLH">'Labor Projection'!$G$16</definedName>
    <definedName name="JTD_Materials" comment="Materials">Materials!$H$12</definedName>
    <definedName name="JTD_Revenue_dashboard" comment="dashboard">Sheet7!$P$5</definedName>
    <definedName name="Labor_Performance_Cost_Labor_Performance" comment="Labor_Performance">'Labor Performance'!$E$3</definedName>
    <definedName name="Labor_Performance_Factor_cost_dashboard" comment="dashboard">Sheet7!$L$5</definedName>
    <definedName name="Labor_Performance_Factor_Labor_Performance" comment="Labor_Performance">'Labor Performance'!$D$3</definedName>
    <definedName name="Labor_performance_factorr_dashboard" comment="dashboard">Sheet7!$K$5</definedName>
    <definedName name="Net_Cash_Position_dashboard" comment="dashboard">Sheet7!$T$5</definedName>
    <definedName name="Open_Materials" comment="Materials">Materials!$I$12</definedName>
    <definedName name="Original_Estimate_Materials" comment="Materials">Materials!$E$12</definedName>
    <definedName name="Original_Hours_Estimate_Labor_Projection" comment="Labor_Projection">'Labor Projection'!$D$12</definedName>
    <definedName name="Original_Hours_Estimate_NTPLH" comment="NTPLH">'Labor Projection'!$D$16</definedName>
    <definedName name="Original_Labor_Dollar_Est__NTPLH" comment="NTPLH">'Labor Projection'!$O$16</definedName>
    <definedName name="overunderbilling_dashboard" comment="dashboard">Sheet7!$Q$5</definedName>
    <definedName name="PCO__ContractStatus" comment="ContractStatus">#REF!</definedName>
    <definedName name="Phase_Labor_Projection" comment="Labor_Projection">'Labor Projection'!$B$12</definedName>
    <definedName name="Phase_Materials" comment="Materials">Materials!$D$12</definedName>
    <definedName name="PhaseCenter_Labor_Projection" comment="Labor_Projection">'Labor Projection'!$Z$12</definedName>
    <definedName name="PhaseCenter_Materials" comment="Materials">Materials!$P$12</definedName>
    <definedName name="Productivity_Factor_Labor_Projection" comment="Labor_Projection">'Labor Projection'!$J$12</definedName>
    <definedName name="Productivity_Factor_NTPLH" comment="NTPLH">'Labor Projection'!$J$16</definedName>
    <definedName name="Productivity_Hours_Labor_Projection" comment="Labor_Projection">'Labor Projection'!$K$12</definedName>
    <definedName name="Productivity_Hours_NTPLH" comment="NTPLH">'Labor Projection'!$K$16</definedName>
    <definedName name="PROFIT___on_COST_ContractStatus" comment="ContractStatus">#REF!</definedName>
    <definedName name="Project_Manager_dashboard" comment="dashboard">Sheet7!$D$5</definedName>
    <definedName name="Projected_Cost_Materials" comment="Materials">Materials!$L$12</definedName>
    <definedName name="Projected_Hrs_to_Complete_Labor_Projection" comment="Labor_Projection">'Labor Projection'!$L$12</definedName>
    <definedName name="Projected_Hrs_to_Complete_NTPLH" comment="NTPLH">'Labor Projection'!$L$16</definedName>
    <definedName name="ProjectStatus_Labor_Projection" comment="Labor_Projection">'Labor Projection'!$AA$12</definedName>
    <definedName name="ProjectStatus_Materials" comment="Materials">Materials!$Q$12</definedName>
    <definedName name="ProjectUniqueID_Labor_Performance" comment="Labor_Performance">'Labor Performance'!$B$3</definedName>
    <definedName name="Pseudo_Cost_Type_NTPLH" comment="NTPLH">'Labor Projection'!$C$16</definedName>
    <definedName name="Status_ContractStatus" comment="ContractStatus">#REF!</definedName>
    <definedName name="Submit_Date_ContractStatus" comment="ContractStatus">#REF!</definedName>
    <definedName name="TOTAL_BURDEN_ContractStatus" comment="ContractStatus">#REF!</definedName>
    <definedName name="TOTAL_CONTRACT_AMOUNT_ContractStatus" comment="ContractStatus">#REF!</definedName>
    <definedName name="TOTAL_DIRECT_JOB_EXPENSE_ContractStatus" comment="ContractStatus">#REF!</definedName>
    <definedName name="Total_Hrs_Labor_Projection" comment="Labor_Projection">'Labor Projection'!$M$12</definedName>
    <definedName name="Total_Hrs_NTPLH" comment="NTPLH">'Labor Projection'!$M$16</definedName>
    <definedName name="TOTAL_LABOR_DOLLARS_ContractStatus" comment="ContractStatus">#REF!</definedName>
    <definedName name="TOTAL_MATERIAL_COST_ContractStatus" comment="ContractStatus">#REF!</definedName>
    <definedName name="TOTAL_MISC_MATERIALS_ContractStatus" comment="ContractStatus">#REF!</definedName>
    <definedName name="TOTAL_PROFIT_ContractStatus" comment="ContractStatus">#REF!</definedName>
    <definedName name="TOTAL_PURCHASE_ORDERS_ContractStatus" comment="ContractStatus">#REF!</definedName>
    <definedName name="Variance_Materials" comment="Materials">Materials!$N$12</definedName>
  </definedName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7" l="1"/>
  <c r="AA5" i="7"/>
  <c r="Z5" i="7"/>
  <c r="Y5" i="7"/>
  <c r="X5" i="7"/>
  <c r="R5" i="7"/>
  <c r="P5" i="7"/>
  <c r="O5" i="7"/>
  <c r="N5" i="7"/>
  <c r="M5" i="7"/>
  <c r="D5" i="7"/>
  <c r="C5" i="7"/>
  <c r="B5" i="7"/>
  <c r="A1" i="7"/>
  <c r="E5" i="7" s="1"/>
  <c r="K116" i="5"/>
  <c r="I116" i="5"/>
  <c r="H116" i="5"/>
  <c r="G116" i="5"/>
  <c r="F116" i="5"/>
  <c r="E116" i="5"/>
  <c r="O115" i="5"/>
  <c r="J115" i="5"/>
  <c r="L115" i="5" s="1"/>
  <c r="F115" i="5"/>
  <c r="K114" i="5"/>
  <c r="I114" i="5"/>
  <c r="H114" i="5"/>
  <c r="G114" i="5"/>
  <c r="E114" i="5"/>
  <c r="O113" i="5"/>
  <c r="J113" i="5"/>
  <c r="L113" i="5" s="1"/>
  <c r="F113" i="5"/>
  <c r="O112" i="5"/>
  <c r="J112" i="5"/>
  <c r="L112" i="5" s="1"/>
  <c r="F112" i="5"/>
  <c r="O111" i="5"/>
  <c r="M111" i="5"/>
  <c r="L111" i="5"/>
  <c r="N111" i="5" s="1"/>
  <c r="J111" i="5"/>
  <c r="F111" i="5"/>
  <c r="O110" i="5"/>
  <c r="J110" i="5"/>
  <c r="L110" i="5" s="1"/>
  <c r="F110" i="5"/>
  <c r="O109" i="5"/>
  <c r="J109" i="5"/>
  <c r="L109" i="5" s="1"/>
  <c r="F109" i="5"/>
  <c r="O108" i="5"/>
  <c r="J108" i="5"/>
  <c r="L108" i="5" s="1"/>
  <c r="F108" i="5"/>
  <c r="M107" i="5"/>
  <c r="L107" i="5"/>
  <c r="N107" i="5" s="1"/>
  <c r="O107" i="5" s="1"/>
  <c r="J107" i="5"/>
  <c r="F107" i="5"/>
  <c r="J106" i="5"/>
  <c r="L106" i="5" s="1"/>
  <c r="F106" i="5"/>
  <c r="J105" i="5"/>
  <c r="L105" i="5" s="1"/>
  <c r="F105" i="5"/>
  <c r="J104" i="5"/>
  <c r="L104" i="5" s="1"/>
  <c r="F104" i="5"/>
  <c r="O103" i="5"/>
  <c r="M103" i="5"/>
  <c r="L103" i="5"/>
  <c r="N103" i="5" s="1"/>
  <c r="J103" i="5"/>
  <c r="F103" i="5"/>
  <c r="O102" i="5"/>
  <c r="J102" i="5"/>
  <c r="L102" i="5" s="1"/>
  <c r="F102" i="5"/>
  <c r="O101" i="5"/>
  <c r="J101" i="5"/>
  <c r="L101" i="5" s="1"/>
  <c r="F101" i="5"/>
  <c r="O100" i="5"/>
  <c r="J100" i="5"/>
  <c r="L100" i="5" s="1"/>
  <c r="F100" i="5"/>
  <c r="O99" i="5"/>
  <c r="M99" i="5"/>
  <c r="L99" i="5"/>
  <c r="N99" i="5" s="1"/>
  <c r="J99" i="5"/>
  <c r="F99" i="5"/>
  <c r="O98" i="5"/>
  <c r="J98" i="5"/>
  <c r="L98" i="5" s="1"/>
  <c r="F98" i="5"/>
  <c r="J97" i="5"/>
  <c r="L97" i="5" s="1"/>
  <c r="F97" i="5"/>
  <c r="J96" i="5"/>
  <c r="L96" i="5" s="1"/>
  <c r="F96" i="5"/>
  <c r="F114" i="5" s="1"/>
  <c r="O95" i="5"/>
  <c r="M95" i="5"/>
  <c r="L95" i="5"/>
  <c r="N95" i="5" s="1"/>
  <c r="J95" i="5"/>
  <c r="F95" i="5"/>
  <c r="J94" i="5"/>
  <c r="L94" i="5" s="1"/>
  <c r="F94" i="5"/>
  <c r="J93" i="5"/>
  <c r="J114" i="5" s="1"/>
  <c r="F93" i="5"/>
  <c r="K92" i="5"/>
  <c r="I92" i="5"/>
  <c r="H92" i="5"/>
  <c r="G92" i="5"/>
  <c r="E92" i="5"/>
  <c r="O91" i="5"/>
  <c r="J91" i="5"/>
  <c r="L91" i="5" s="1"/>
  <c r="F91" i="5"/>
  <c r="J90" i="5"/>
  <c r="L90" i="5" s="1"/>
  <c r="F90" i="5"/>
  <c r="N89" i="5"/>
  <c r="O89" i="5" s="1"/>
  <c r="L89" i="5"/>
  <c r="M89" i="5" s="1"/>
  <c r="J89" i="5"/>
  <c r="F89" i="5"/>
  <c r="L88" i="5"/>
  <c r="N88" i="5" s="1"/>
  <c r="O88" i="5" s="1"/>
  <c r="J88" i="5"/>
  <c r="F88" i="5"/>
  <c r="J87" i="5"/>
  <c r="L87" i="5" s="1"/>
  <c r="F87" i="5"/>
  <c r="O86" i="5"/>
  <c r="J86" i="5"/>
  <c r="L86" i="5" s="1"/>
  <c r="F86" i="5"/>
  <c r="N85" i="5"/>
  <c r="O85" i="5" s="1"/>
  <c r="L85" i="5"/>
  <c r="M85" i="5" s="1"/>
  <c r="J85" i="5"/>
  <c r="F85" i="5"/>
  <c r="L84" i="5"/>
  <c r="N84" i="5" s="1"/>
  <c r="O84" i="5" s="1"/>
  <c r="J84" i="5"/>
  <c r="F84" i="5"/>
  <c r="O83" i="5"/>
  <c r="J83" i="5"/>
  <c r="L83" i="5" s="1"/>
  <c r="F83" i="5"/>
  <c r="J82" i="5"/>
  <c r="L82" i="5" s="1"/>
  <c r="F82" i="5"/>
  <c r="O81" i="5"/>
  <c r="N81" i="5"/>
  <c r="L81" i="5"/>
  <c r="M81" i="5" s="1"/>
  <c r="J81" i="5"/>
  <c r="F81" i="5"/>
  <c r="O80" i="5"/>
  <c r="L80" i="5"/>
  <c r="N80" i="5" s="1"/>
  <c r="J80" i="5"/>
  <c r="F80" i="5"/>
  <c r="O79" i="5"/>
  <c r="J79" i="5"/>
  <c r="L79" i="5" s="1"/>
  <c r="F79" i="5"/>
  <c r="J78" i="5"/>
  <c r="L78" i="5" s="1"/>
  <c r="F78" i="5"/>
  <c r="O77" i="5"/>
  <c r="N77" i="5"/>
  <c r="L77" i="5"/>
  <c r="M77" i="5" s="1"/>
  <c r="J77" i="5"/>
  <c r="F77" i="5"/>
  <c r="L76" i="5"/>
  <c r="N76" i="5" s="1"/>
  <c r="O76" i="5" s="1"/>
  <c r="J76" i="5"/>
  <c r="F76" i="5"/>
  <c r="J75" i="5"/>
  <c r="L75" i="5" s="1"/>
  <c r="F75" i="5"/>
  <c r="O74" i="5"/>
  <c r="J74" i="5"/>
  <c r="L74" i="5" s="1"/>
  <c r="F74" i="5"/>
  <c r="O73" i="5"/>
  <c r="N73" i="5"/>
  <c r="L73" i="5"/>
  <c r="M73" i="5" s="1"/>
  <c r="J73" i="5"/>
  <c r="F73" i="5"/>
  <c r="L72" i="5"/>
  <c r="N72" i="5" s="1"/>
  <c r="O72" i="5" s="1"/>
  <c r="J72" i="5"/>
  <c r="F72" i="5"/>
  <c r="O71" i="5"/>
  <c r="J71" i="5"/>
  <c r="J92" i="5" s="1"/>
  <c r="F71" i="5"/>
  <c r="F92" i="5" s="1"/>
  <c r="K70" i="5"/>
  <c r="I70" i="5"/>
  <c r="H70" i="5"/>
  <c r="G70" i="5"/>
  <c r="F70" i="5"/>
  <c r="E70" i="5"/>
  <c r="O69" i="5"/>
  <c r="J69" i="5"/>
  <c r="L69" i="5" s="1"/>
  <c r="F69" i="5"/>
  <c r="O68" i="5"/>
  <c r="M68" i="5"/>
  <c r="L68" i="5"/>
  <c r="N68" i="5" s="1"/>
  <c r="J68" i="5"/>
  <c r="F68" i="5"/>
  <c r="J67" i="5"/>
  <c r="L67" i="5" s="1"/>
  <c r="F67" i="5"/>
  <c r="O66" i="5"/>
  <c r="J66" i="5"/>
  <c r="L66" i="5" s="1"/>
  <c r="F66" i="5"/>
  <c r="O65" i="5"/>
  <c r="N65" i="5"/>
  <c r="L65" i="5"/>
  <c r="M65" i="5" s="1"/>
  <c r="J65" i="5"/>
  <c r="F65" i="5"/>
  <c r="M64" i="5"/>
  <c r="L64" i="5"/>
  <c r="N64" i="5" s="1"/>
  <c r="O64" i="5" s="1"/>
  <c r="J64" i="5"/>
  <c r="F64" i="5"/>
  <c r="O63" i="5"/>
  <c r="J63" i="5"/>
  <c r="L63" i="5" s="1"/>
  <c r="F63" i="5"/>
  <c r="O62" i="5"/>
  <c r="J62" i="5"/>
  <c r="L62" i="5" s="1"/>
  <c r="F62" i="5"/>
  <c r="O61" i="5"/>
  <c r="N61" i="5"/>
  <c r="L61" i="5"/>
  <c r="M61" i="5" s="1"/>
  <c r="J61" i="5"/>
  <c r="F61" i="5"/>
  <c r="M60" i="5"/>
  <c r="L60" i="5"/>
  <c r="N60" i="5" s="1"/>
  <c r="O60" i="5" s="1"/>
  <c r="J60" i="5"/>
  <c r="F60" i="5"/>
  <c r="J59" i="5"/>
  <c r="L59" i="5" s="1"/>
  <c r="F59" i="5"/>
  <c r="J58" i="5"/>
  <c r="L58" i="5" s="1"/>
  <c r="F58" i="5"/>
  <c r="O57" i="5"/>
  <c r="N57" i="5"/>
  <c r="L57" i="5"/>
  <c r="M57" i="5" s="1"/>
  <c r="J57" i="5"/>
  <c r="F57" i="5"/>
  <c r="O56" i="5"/>
  <c r="M56" i="5"/>
  <c r="L56" i="5"/>
  <c r="N56" i="5" s="1"/>
  <c r="J56" i="5"/>
  <c r="F56" i="5"/>
  <c r="J55" i="5"/>
  <c r="L55" i="5" s="1"/>
  <c r="F55" i="5"/>
  <c r="O54" i="5"/>
  <c r="J54" i="5"/>
  <c r="L54" i="5" s="1"/>
  <c r="F54" i="5"/>
  <c r="O53" i="5"/>
  <c r="N53" i="5"/>
  <c r="L53" i="5"/>
  <c r="M53" i="5" s="1"/>
  <c r="J53" i="5"/>
  <c r="F53" i="5"/>
  <c r="M52" i="5"/>
  <c r="L52" i="5"/>
  <c r="N52" i="5" s="1"/>
  <c r="O52" i="5" s="1"/>
  <c r="J52" i="5"/>
  <c r="F52" i="5"/>
  <c r="O51" i="5"/>
  <c r="J51" i="5"/>
  <c r="L51" i="5" s="1"/>
  <c r="F51" i="5"/>
  <c r="O50" i="5"/>
  <c r="J50" i="5"/>
  <c r="L50" i="5" s="1"/>
  <c r="F50" i="5"/>
  <c r="O49" i="5"/>
  <c r="J49" i="5"/>
  <c r="L49" i="5" s="1"/>
  <c r="F49" i="5"/>
  <c r="O48" i="5"/>
  <c r="M48" i="5"/>
  <c r="L48" i="5"/>
  <c r="N48" i="5" s="1"/>
  <c r="J48" i="5"/>
  <c r="F48" i="5"/>
  <c r="O47" i="5"/>
  <c r="J47" i="5"/>
  <c r="L47" i="5" s="1"/>
  <c r="F47" i="5"/>
  <c r="O46" i="5"/>
  <c r="J46" i="5"/>
  <c r="L46" i="5" s="1"/>
  <c r="F46" i="5"/>
  <c r="O45" i="5"/>
  <c r="N45" i="5"/>
  <c r="L45" i="5"/>
  <c r="M45" i="5" s="1"/>
  <c r="J45" i="5"/>
  <c r="F45" i="5"/>
  <c r="O44" i="5"/>
  <c r="M44" i="5"/>
  <c r="L44" i="5"/>
  <c r="N44" i="5" s="1"/>
  <c r="J44" i="5"/>
  <c r="F44" i="5"/>
  <c r="O43" i="5"/>
  <c r="J43" i="5"/>
  <c r="L43" i="5" s="1"/>
  <c r="F43" i="5"/>
  <c r="O42" i="5"/>
  <c r="J42" i="5"/>
  <c r="L42" i="5" s="1"/>
  <c r="F42" i="5"/>
  <c r="O41" i="5"/>
  <c r="N41" i="5"/>
  <c r="L41" i="5"/>
  <c r="M41" i="5" s="1"/>
  <c r="J41" i="5"/>
  <c r="F41" i="5"/>
  <c r="O40" i="5"/>
  <c r="M40" i="5"/>
  <c r="L40" i="5"/>
  <c r="N40" i="5" s="1"/>
  <c r="J40" i="5"/>
  <c r="F40" i="5"/>
  <c r="O39" i="5"/>
  <c r="J39" i="5"/>
  <c r="L39" i="5" s="1"/>
  <c r="F39" i="5"/>
  <c r="O38" i="5"/>
  <c r="J38" i="5"/>
  <c r="L38" i="5" s="1"/>
  <c r="F38" i="5"/>
  <c r="J37" i="5"/>
  <c r="L37" i="5" s="1"/>
  <c r="F37" i="5"/>
  <c r="M36" i="5"/>
  <c r="L36" i="5"/>
  <c r="N36" i="5" s="1"/>
  <c r="O36" i="5" s="1"/>
  <c r="J36" i="5"/>
  <c r="F36" i="5"/>
  <c r="O35" i="5"/>
  <c r="J35" i="5"/>
  <c r="L35" i="5" s="1"/>
  <c r="F35" i="5"/>
  <c r="J34" i="5"/>
  <c r="L34" i="5" s="1"/>
  <c r="F34" i="5"/>
  <c r="O33" i="5"/>
  <c r="J33" i="5"/>
  <c r="L33" i="5" s="1"/>
  <c r="F33" i="5"/>
  <c r="M32" i="5"/>
  <c r="L32" i="5"/>
  <c r="N32" i="5" s="1"/>
  <c r="O32" i="5" s="1"/>
  <c r="J32" i="5"/>
  <c r="F32" i="5"/>
  <c r="O31" i="5"/>
  <c r="J31" i="5"/>
  <c r="L31" i="5" s="1"/>
  <c r="F31" i="5"/>
  <c r="J30" i="5"/>
  <c r="L30" i="5" s="1"/>
  <c r="F30" i="5"/>
  <c r="J29" i="5"/>
  <c r="L29" i="5" s="1"/>
  <c r="F29" i="5"/>
  <c r="O28" i="5"/>
  <c r="M28" i="5"/>
  <c r="L28" i="5"/>
  <c r="N28" i="5" s="1"/>
  <c r="J28" i="5"/>
  <c r="F28" i="5"/>
  <c r="J27" i="5"/>
  <c r="L27" i="5" s="1"/>
  <c r="F27" i="5"/>
  <c r="J26" i="5"/>
  <c r="L26" i="5" s="1"/>
  <c r="F26" i="5"/>
  <c r="J25" i="5"/>
  <c r="L25" i="5" s="1"/>
  <c r="F25" i="5"/>
  <c r="O24" i="5"/>
  <c r="M24" i="5"/>
  <c r="L24" i="5"/>
  <c r="N24" i="5" s="1"/>
  <c r="J24" i="5"/>
  <c r="F24" i="5"/>
  <c r="O23" i="5"/>
  <c r="J23" i="5"/>
  <c r="L23" i="5" s="1"/>
  <c r="F23" i="5"/>
  <c r="O22" i="5"/>
  <c r="J22" i="5"/>
  <c r="L22" i="5" s="1"/>
  <c r="F22" i="5"/>
  <c r="O21" i="5"/>
  <c r="J21" i="5"/>
  <c r="L21" i="5" s="1"/>
  <c r="F21" i="5"/>
  <c r="O20" i="5"/>
  <c r="M20" i="5"/>
  <c r="L20" i="5"/>
  <c r="N20" i="5" s="1"/>
  <c r="J20" i="5"/>
  <c r="F20" i="5"/>
  <c r="J19" i="5"/>
  <c r="L19" i="5" s="1"/>
  <c r="F19" i="5"/>
  <c r="J18" i="5"/>
  <c r="L18" i="5" s="1"/>
  <c r="F18" i="5"/>
  <c r="J17" i="5"/>
  <c r="L17" i="5" s="1"/>
  <c r="F17" i="5"/>
  <c r="O16" i="5"/>
  <c r="M16" i="5"/>
  <c r="L16" i="5"/>
  <c r="N16" i="5" s="1"/>
  <c r="J16" i="5"/>
  <c r="J70" i="5" s="1"/>
  <c r="F16" i="5"/>
  <c r="K15" i="5"/>
  <c r="I15" i="5"/>
  <c r="H15" i="5"/>
  <c r="G15" i="5"/>
  <c r="E15" i="5"/>
  <c r="O14" i="5"/>
  <c r="N14" i="5"/>
  <c r="L14" i="5"/>
  <c r="M14" i="5" s="1"/>
  <c r="J14" i="5"/>
  <c r="F14" i="5"/>
  <c r="L13" i="5"/>
  <c r="N13" i="5" s="1"/>
  <c r="O13" i="5" s="1"/>
  <c r="J13" i="5"/>
  <c r="F13" i="5"/>
  <c r="J12" i="5"/>
  <c r="J15" i="5" s="1"/>
  <c r="F12" i="5"/>
  <c r="F15" i="5" s="1"/>
  <c r="K10" i="5"/>
  <c r="I10" i="5"/>
  <c r="H10" i="5"/>
  <c r="G10" i="5"/>
  <c r="F10" i="5"/>
  <c r="E10" i="5"/>
  <c r="K4" i="5"/>
  <c r="J4" i="5"/>
  <c r="I4" i="5"/>
  <c r="H4" i="5"/>
  <c r="G4" i="5"/>
  <c r="F4" i="5"/>
  <c r="E4" i="5"/>
  <c r="K3" i="5"/>
  <c r="J3" i="5"/>
  <c r="I3" i="5"/>
  <c r="H3" i="5"/>
  <c r="G3" i="5"/>
  <c r="F3" i="5"/>
  <c r="E3" i="5"/>
  <c r="Q52" i="4"/>
  <c r="W46" i="4"/>
  <c r="X46" i="4" s="1"/>
  <c r="V46" i="4"/>
  <c r="P46" i="4"/>
  <c r="L46" i="4"/>
  <c r="I46" i="4"/>
  <c r="K46" i="4" s="1"/>
  <c r="E46" i="4"/>
  <c r="W45" i="4"/>
  <c r="X45" i="4" s="1"/>
  <c r="V45" i="4"/>
  <c r="P45" i="4"/>
  <c r="L45" i="4"/>
  <c r="K45" i="4"/>
  <c r="I45" i="4"/>
  <c r="E45" i="4"/>
  <c r="W44" i="4"/>
  <c r="V44" i="4"/>
  <c r="P44" i="4"/>
  <c r="K44" i="4"/>
  <c r="I44" i="4"/>
  <c r="E44" i="4"/>
  <c r="W43" i="4"/>
  <c r="V43" i="4"/>
  <c r="X43" i="4" s="1"/>
  <c r="P43" i="4"/>
  <c r="N43" i="4"/>
  <c r="M43" i="4"/>
  <c r="K43" i="4"/>
  <c r="L43" i="4" s="1"/>
  <c r="I43" i="4"/>
  <c r="E43" i="4"/>
  <c r="X42" i="4"/>
  <c r="W42" i="4"/>
  <c r="V42" i="4"/>
  <c r="P42" i="4"/>
  <c r="I42" i="4"/>
  <c r="E42" i="4"/>
  <c r="X41" i="4"/>
  <c r="W41" i="4"/>
  <c r="V41" i="4"/>
  <c r="P41" i="4"/>
  <c r="I41" i="4"/>
  <c r="E41" i="4"/>
  <c r="X40" i="4"/>
  <c r="W40" i="4"/>
  <c r="V40" i="4"/>
  <c r="P40" i="4"/>
  <c r="L40" i="4"/>
  <c r="I40" i="4"/>
  <c r="K40" i="4" s="1"/>
  <c r="E40" i="4"/>
  <c r="W39" i="4"/>
  <c r="X39" i="4" s="1"/>
  <c r="V39" i="4"/>
  <c r="P39" i="4"/>
  <c r="I39" i="4"/>
  <c r="K39" i="4" s="1"/>
  <c r="E39" i="4"/>
  <c r="W38" i="4"/>
  <c r="X38" i="4" s="1"/>
  <c r="V38" i="4"/>
  <c r="P38" i="4"/>
  <c r="L38" i="4"/>
  <c r="I38" i="4"/>
  <c r="K38" i="4" s="1"/>
  <c r="E38" i="4"/>
  <c r="W37" i="4"/>
  <c r="X37" i="4" s="1"/>
  <c r="V37" i="4"/>
  <c r="P37" i="4"/>
  <c r="K37" i="4"/>
  <c r="L37" i="4" s="1"/>
  <c r="I37" i="4"/>
  <c r="E37" i="4"/>
  <c r="W36" i="4"/>
  <c r="V36" i="4"/>
  <c r="P36" i="4"/>
  <c r="K36" i="4"/>
  <c r="I36" i="4"/>
  <c r="E36" i="4"/>
  <c r="W35" i="4"/>
  <c r="V35" i="4"/>
  <c r="X35" i="4" s="1"/>
  <c r="P35" i="4"/>
  <c r="N35" i="4"/>
  <c r="M35" i="4"/>
  <c r="K35" i="4"/>
  <c r="L35" i="4" s="1"/>
  <c r="I35" i="4"/>
  <c r="E35" i="4"/>
  <c r="X34" i="4"/>
  <c r="W34" i="4"/>
  <c r="V34" i="4"/>
  <c r="P34" i="4"/>
  <c r="I34" i="4"/>
  <c r="E34" i="4"/>
  <c r="X33" i="4"/>
  <c r="W33" i="4"/>
  <c r="V33" i="4"/>
  <c r="P33" i="4"/>
  <c r="I33" i="4"/>
  <c r="E33" i="4"/>
  <c r="X32" i="4"/>
  <c r="W32" i="4"/>
  <c r="V32" i="4"/>
  <c r="P32" i="4"/>
  <c r="I32" i="4"/>
  <c r="E32" i="4"/>
  <c r="W31" i="4"/>
  <c r="X31" i="4" s="1"/>
  <c r="V31" i="4"/>
  <c r="P31" i="4"/>
  <c r="I31" i="4"/>
  <c r="K31" i="4" s="1"/>
  <c r="E31" i="4"/>
  <c r="W30" i="4"/>
  <c r="X30" i="4" s="1"/>
  <c r="V30" i="4"/>
  <c r="P30" i="4"/>
  <c r="L30" i="4"/>
  <c r="I30" i="4"/>
  <c r="K30" i="4" s="1"/>
  <c r="E30" i="4"/>
  <c r="W29" i="4"/>
  <c r="X29" i="4" s="1"/>
  <c r="V29" i="4"/>
  <c r="P29" i="4"/>
  <c r="L29" i="4"/>
  <c r="K29" i="4"/>
  <c r="I29" i="4"/>
  <c r="E29" i="4"/>
  <c r="W28" i="4"/>
  <c r="V28" i="4"/>
  <c r="P28" i="4"/>
  <c r="K28" i="4"/>
  <c r="I28" i="4"/>
  <c r="E28" i="4"/>
  <c r="W27" i="4"/>
  <c r="V27" i="4"/>
  <c r="X27" i="4" s="1"/>
  <c r="P27" i="4"/>
  <c r="N27" i="4"/>
  <c r="M27" i="4"/>
  <c r="K27" i="4"/>
  <c r="L27" i="4" s="1"/>
  <c r="I27" i="4"/>
  <c r="E27" i="4"/>
  <c r="W26" i="4"/>
  <c r="V26" i="4"/>
  <c r="X26" i="4" s="1"/>
  <c r="P26" i="4"/>
  <c r="I26" i="4"/>
  <c r="E26" i="4"/>
  <c r="X25" i="4"/>
  <c r="W25" i="4"/>
  <c r="V25" i="4"/>
  <c r="P25" i="4"/>
  <c r="I25" i="4"/>
  <c r="E25" i="4"/>
  <c r="W24" i="4"/>
  <c r="X24" i="4" s="1"/>
  <c r="V24" i="4"/>
  <c r="P24" i="4"/>
  <c r="M24" i="4"/>
  <c r="N24" i="4" s="1"/>
  <c r="L24" i="4"/>
  <c r="I24" i="4"/>
  <c r="K24" i="4" s="1"/>
  <c r="E24" i="4"/>
  <c r="W23" i="4"/>
  <c r="X23" i="4" s="1"/>
  <c r="V23" i="4"/>
  <c r="P23" i="4"/>
  <c r="L23" i="4"/>
  <c r="I23" i="4"/>
  <c r="K23" i="4" s="1"/>
  <c r="E23" i="4"/>
  <c r="W22" i="4"/>
  <c r="X22" i="4" s="1"/>
  <c r="V22" i="4"/>
  <c r="P22" i="4"/>
  <c r="I22" i="4"/>
  <c r="K22" i="4" s="1"/>
  <c r="L22" i="4" s="1"/>
  <c r="E22" i="4"/>
  <c r="W21" i="4"/>
  <c r="X21" i="4" s="1"/>
  <c r="V21" i="4"/>
  <c r="P21" i="4"/>
  <c r="K21" i="4"/>
  <c r="L21" i="4" s="1"/>
  <c r="I21" i="4"/>
  <c r="E21" i="4"/>
  <c r="W20" i="4"/>
  <c r="V20" i="4"/>
  <c r="P20" i="4"/>
  <c r="K20" i="4"/>
  <c r="I20" i="4"/>
  <c r="E20" i="4"/>
  <c r="W19" i="4"/>
  <c r="V19" i="4"/>
  <c r="X19" i="4" s="1"/>
  <c r="P19" i="4"/>
  <c r="M19" i="4"/>
  <c r="N19" i="4" s="1"/>
  <c r="K19" i="4"/>
  <c r="L19" i="4" s="1"/>
  <c r="I19" i="4"/>
  <c r="E19" i="4"/>
  <c r="W18" i="4"/>
  <c r="V18" i="4"/>
  <c r="X18" i="4" s="1"/>
  <c r="P18" i="4"/>
  <c r="I18" i="4"/>
  <c r="E18" i="4"/>
  <c r="X17" i="4"/>
  <c r="W17" i="4"/>
  <c r="V17" i="4"/>
  <c r="P17" i="4"/>
  <c r="I17" i="4"/>
  <c r="E17" i="4"/>
  <c r="W16" i="4"/>
  <c r="V16" i="4"/>
  <c r="P16" i="4"/>
  <c r="M16" i="4"/>
  <c r="N16" i="4" s="1"/>
  <c r="L16" i="4"/>
  <c r="I16" i="4"/>
  <c r="K16" i="4" s="1"/>
  <c r="E16" i="4"/>
  <c r="W15" i="4"/>
  <c r="X15" i="4" s="1"/>
  <c r="V15" i="4"/>
  <c r="P15" i="4"/>
  <c r="L15" i="4"/>
  <c r="I15" i="4"/>
  <c r="K15" i="4" s="1"/>
  <c r="E15" i="4"/>
  <c r="W14" i="4"/>
  <c r="X14" i="4" s="1"/>
  <c r="V14" i="4"/>
  <c r="P14" i="4"/>
  <c r="L14" i="4"/>
  <c r="I14" i="4"/>
  <c r="K14" i="4" s="1"/>
  <c r="E14" i="4"/>
  <c r="W13" i="4"/>
  <c r="V13" i="4"/>
  <c r="P13" i="4"/>
  <c r="I13" i="4"/>
  <c r="E13" i="4"/>
  <c r="W12" i="4"/>
  <c r="V12" i="4"/>
  <c r="P12" i="4"/>
  <c r="I12" i="4"/>
  <c r="E12" i="4"/>
  <c r="Q10" i="4"/>
  <c r="O10" i="4"/>
  <c r="G10" i="4"/>
  <c r="D10" i="4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25" i="3" s="1"/>
  <c r="K30" i="3"/>
  <c r="K29" i="3"/>
  <c r="K27" i="3"/>
  <c r="J27" i="3"/>
  <c r="I27" i="3"/>
  <c r="H27" i="3"/>
  <c r="J25" i="3"/>
  <c r="I25" i="3"/>
  <c r="H25" i="3"/>
  <c r="J16" i="3"/>
  <c r="H16" i="3" a="1"/>
  <c r="H16" i="3" s="1"/>
  <c r="O20" i="3" s="1"/>
  <c r="O4" i="3"/>
  <c r="N4" i="3"/>
  <c r="M4" i="3"/>
  <c r="H16" i="1" a="1"/>
  <c r="H16" i="1" s="1"/>
  <c r="H21" i="1" a="1"/>
  <c r="H21" i="1" s="1"/>
  <c r="H19" i="1" a="1"/>
  <c r="H19" i="1" s="1"/>
  <c r="H18" i="1" a="1"/>
  <c r="H18" i="1" s="1"/>
  <c r="G19" i="1" a="1"/>
  <c r="G19" i="1" s="1"/>
  <c r="G18" i="1" a="1"/>
  <c r="G18" i="1" s="1"/>
  <c r="G22" i="1" s="1"/>
  <c r="F52" i="4" a="1"/>
  <c r="F52" i="4" s="1"/>
  <c r="F20" i="1" a="1"/>
  <c r="F20" i="1" s="1"/>
  <c r="J37" i="1"/>
  <c r="I5" i="7" s="1"/>
  <c r="F32" i="1"/>
  <c r="Q5" i="7" s="1"/>
  <c r="G21" i="1" a="1"/>
  <c r="G21" i="1" s="1"/>
  <c r="G20" i="1" a="1"/>
  <c r="G20" i="1" s="1"/>
  <c r="G16" i="1" a="1"/>
  <c r="G16" i="1" s="1"/>
  <c r="H17" i="3" l="1" a="1"/>
  <c r="H17" i="3" s="1"/>
  <c r="F16" i="1" a="1"/>
  <c r="F16" i="1" s="1"/>
  <c r="F19" i="1" a="1"/>
  <c r="F19" i="1" s="1"/>
  <c r="I19" i="1" s="1"/>
  <c r="F18" i="1" a="1"/>
  <c r="F18" i="1" s="1"/>
  <c r="H26" i="1"/>
  <c r="G26" i="1"/>
  <c r="G24" i="1"/>
  <c r="G25" i="1" s="1"/>
  <c r="F21" i="1" a="1"/>
  <c r="F21" i="1" s="1"/>
  <c r="I21" i="1" s="1"/>
  <c r="I20" i="1"/>
  <c r="H20" i="1" a="1"/>
  <c r="H20" i="1" s="1"/>
  <c r="H22" i="1" s="1"/>
  <c r="H24" i="1" s="1"/>
  <c r="H25" i="1" s="1"/>
  <c r="L37" i="1"/>
  <c r="I52" i="4"/>
  <c r="I10" i="4" s="1"/>
  <c r="S52" i="4"/>
  <c r="R52" i="4"/>
  <c r="F10" i="4"/>
  <c r="M29" i="4"/>
  <c r="N29" i="4" s="1"/>
  <c r="L33" i="4"/>
  <c r="K33" i="4"/>
  <c r="M27" i="5"/>
  <c r="N27" i="5"/>
  <c r="O27" i="5" s="1"/>
  <c r="N38" i="5"/>
  <c r="M38" i="5"/>
  <c r="N42" i="5"/>
  <c r="M42" i="5"/>
  <c r="N46" i="5"/>
  <c r="M46" i="5"/>
  <c r="M55" i="5"/>
  <c r="N55" i="5"/>
  <c r="O55" i="5" s="1"/>
  <c r="N66" i="5"/>
  <c r="M66" i="5"/>
  <c r="N87" i="5"/>
  <c r="O87" i="5" s="1"/>
  <c r="M87" i="5"/>
  <c r="M98" i="5"/>
  <c r="N98" i="5"/>
  <c r="N100" i="5"/>
  <c r="M100" i="5"/>
  <c r="N105" i="5"/>
  <c r="O105" i="5" s="1"/>
  <c r="M105" i="5"/>
  <c r="N108" i="5"/>
  <c r="M108" i="5"/>
  <c r="M21" i="4"/>
  <c r="N21" i="4" s="1"/>
  <c r="M38" i="4"/>
  <c r="N38" i="4" s="1"/>
  <c r="N22" i="5"/>
  <c r="M22" i="5"/>
  <c r="N30" i="5"/>
  <c r="O30" i="5" s="1"/>
  <c r="M30" i="5"/>
  <c r="M51" i="5"/>
  <c r="N51" i="5"/>
  <c r="N62" i="5"/>
  <c r="M62" i="5"/>
  <c r="N75" i="5"/>
  <c r="O75" i="5" s="1"/>
  <c r="M75" i="5"/>
  <c r="N82" i="5"/>
  <c r="O82" i="5" s="1"/>
  <c r="M82" i="5"/>
  <c r="N90" i="5"/>
  <c r="O90" i="5" s="1"/>
  <c r="M90" i="5"/>
  <c r="N113" i="5"/>
  <c r="M113" i="5"/>
  <c r="L116" i="5"/>
  <c r="N115" i="5"/>
  <c r="N116" i="5" s="1"/>
  <c r="M115" i="5"/>
  <c r="K32" i="4"/>
  <c r="L32" i="4"/>
  <c r="N33" i="5"/>
  <c r="M33" i="5"/>
  <c r="N69" i="5"/>
  <c r="M69" i="5"/>
  <c r="M106" i="5"/>
  <c r="N106" i="5"/>
  <c r="O106" i="5" s="1"/>
  <c r="M37" i="4"/>
  <c r="N37" i="4" s="1"/>
  <c r="M15" i="4"/>
  <c r="N15" i="4" s="1"/>
  <c r="M14" i="4"/>
  <c r="N14" i="4" s="1"/>
  <c r="M22" i="4"/>
  <c r="N22" i="4" s="1"/>
  <c r="M23" i="4"/>
  <c r="N23" i="4" s="1"/>
  <c r="P10" i="4"/>
  <c r="X16" i="4"/>
  <c r="W10" i="4"/>
  <c r="V10" i="4"/>
  <c r="L70" i="5"/>
  <c r="N17" i="5"/>
  <c r="O17" i="5" s="1"/>
  <c r="M17" i="5"/>
  <c r="L3" i="5"/>
  <c r="M31" i="5"/>
  <c r="N31" i="5"/>
  <c r="M39" i="5"/>
  <c r="N39" i="5"/>
  <c r="M43" i="5"/>
  <c r="N43" i="5"/>
  <c r="M47" i="5"/>
  <c r="N47" i="5"/>
  <c r="N49" i="5"/>
  <c r="M49" i="5"/>
  <c r="M67" i="5"/>
  <c r="N67" i="5"/>
  <c r="O67" i="5" s="1"/>
  <c r="N78" i="5"/>
  <c r="O78" i="5" s="1"/>
  <c r="M78" i="5"/>
  <c r="N83" i="5"/>
  <c r="M83" i="5"/>
  <c r="N91" i="5"/>
  <c r="M91" i="5"/>
  <c r="N101" i="5"/>
  <c r="M101" i="5"/>
  <c r="N109" i="5"/>
  <c r="M109" i="5"/>
  <c r="M45" i="4"/>
  <c r="N45" i="4" s="1"/>
  <c r="K34" i="4"/>
  <c r="L34" i="4" s="1"/>
  <c r="M40" i="4"/>
  <c r="N40" i="4" s="1"/>
  <c r="E10" i="4"/>
  <c r="L39" i="4"/>
  <c r="L20" i="4"/>
  <c r="M30" i="4"/>
  <c r="N30" i="4" s="1"/>
  <c r="L41" i="4"/>
  <c r="K41" i="4"/>
  <c r="M46" i="4"/>
  <c r="N46" i="4" s="1"/>
  <c r="X12" i="4"/>
  <c r="X13" i="4"/>
  <c r="L26" i="4"/>
  <c r="K26" i="4"/>
  <c r="K12" i="4"/>
  <c r="K13" i="4"/>
  <c r="L13" i="4" s="1"/>
  <c r="L17" i="4"/>
  <c r="K17" i="4"/>
  <c r="K18" i="4"/>
  <c r="L18" i="4" s="1"/>
  <c r="L25" i="4"/>
  <c r="K25" i="4"/>
  <c r="L28" i="4"/>
  <c r="L31" i="4"/>
  <c r="L42" i="4"/>
  <c r="K42" i="4"/>
  <c r="L36" i="4"/>
  <c r="L44" i="4"/>
  <c r="M19" i="5"/>
  <c r="N19" i="5"/>
  <c r="O19" i="5" s="1"/>
  <c r="N29" i="5"/>
  <c r="O29" i="5" s="1"/>
  <c r="M29" i="5"/>
  <c r="M35" i="5"/>
  <c r="N35" i="5"/>
  <c r="M23" i="5"/>
  <c r="N23" i="5"/>
  <c r="N25" i="5"/>
  <c r="O25" i="5" s="1"/>
  <c r="M25" i="5"/>
  <c r="N58" i="5"/>
  <c r="O58" i="5" s="1"/>
  <c r="M58" i="5"/>
  <c r="M63" i="5"/>
  <c r="N63" i="5"/>
  <c r="N96" i="5"/>
  <c r="O96" i="5" s="1"/>
  <c r="M96" i="5"/>
  <c r="N18" i="5"/>
  <c r="O18" i="5" s="1"/>
  <c r="M18" i="5"/>
  <c r="N34" i="5"/>
  <c r="O34" i="5" s="1"/>
  <c r="M34" i="5"/>
  <c r="N54" i="5"/>
  <c r="M54" i="5"/>
  <c r="N79" i="5"/>
  <c r="M79" i="5"/>
  <c r="N86" i="5"/>
  <c r="M86" i="5"/>
  <c r="M94" i="5"/>
  <c r="N94" i="5"/>
  <c r="O94" i="5" s="1"/>
  <c r="X20" i="4"/>
  <c r="X28" i="4"/>
  <c r="X36" i="4"/>
  <c r="X44" i="4"/>
  <c r="N21" i="5"/>
  <c r="M21" i="5"/>
  <c r="N26" i="5"/>
  <c r="O26" i="5" s="1"/>
  <c r="M26" i="5"/>
  <c r="N37" i="5"/>
  <c r="O37" i="5" s="1"/>
  <c r="M37" i="5"/>
  <c r="N50" i="5"/>
  <c r="M50" i="5"/>
  <c r="M59" i="5"/>
  <c r="N59" i="5"/>
  <c r="O59" i="5" s="1"/>
  <c r="N74" i="5"/>
  <c r="M74" i="5"/>
  <c r="N97" i="5"/>
  <c r="O97" i="5" s="1"/>
  <c r="M97" i="5"/>
  <c r="M102" i="5"/>
  <c r="N102" i="5"/>
  <c r="N104" i="5"/>
  <c r="O104" i="5" s="1"/>
  <c r="M104" i="5"/>
  <c r="M110" i="5"/>
  <c r="N110" i="5"/>
  <c r="N112" i="5"/>
  <c r="M112" i="5"/>
  <c r="M13" i="5"/>
  <c r="M72" i="5"/>
  <c r="M76" i="5"/>
  <c r="M80" i="5"/>
  <c r="M84" i="5"/>
  <c r="M88" i="5"/>
  <c r="L93" i="5"/>
  <c r="J116" i="5"/>
  <c r="L12" i="5"/>
  <c r="L71" i="5"/>
  <c r="J10" i="5"/>
  <c r="M18" i="4" l="1"/>
  <c r="N18" i="4" s="1"/>
  <c r="M34" i="4"/>
  <c r="N34" i="4" s="1"/>
  <c r="M13" i="4"/>
  <c r="N13" i="4" s="1"/>
  <c r="M42" i="4"/>
  <c r="N42" i="4" s="1"/>
  <c r="M28" i="4"/>
  <c r="N28" i="4" s="1"/>
  <c r="M39" i="4"/>
  <c r="N39" i="4" s="1"/>
  <c r="M17" i="4"/>
  <c r="N17" i="4" s="1"/>
  <c r="L12" i="4"/>
  <c r="J16" i="1" a="1"/>
  <c r="J16" i="1" s="1"/>
  <c r="M3" i="5"/>
  <c r="J20" i="1" a="1"/>
  <c r="J20" i="1" s="1"/>
  <c r="F26" i="1"/>
  <c r="I16" i="1"/>
  <c r="X10" i="4"/>
  <c r="M20" i="4"/>
  <c r="N20" i="4" s="1"/>
  <c r="I20" i="3"/>
  <c r="F36" i="1"/>
  <c r="H20" i="3"/>
  <c r="I18" i="1"/>
  <c r="I22" i="1" s="1"/>
  <c r="F22" i="1"/>
  <c r="F24" i="1" s="1"/>
  <c r="F25" i="1" s="1"/>
  <c r="L92" i="5"/>
  <c r="N71" i="5"/>
  <c r="N92" i="5" s="1"/>
  <c r="M71" i="5"/>
  <c r="T52" i="4"/>
  <c r="U52" i="4" s="1"/>
  <c r="R10" i="4"/>
  <c r="L4" i="5"/>
  <c r="L10" i="5"/>
  <c r="N12" i="5"/>
  <c r="M12" i="5"/>
  <c r="L15" i="5"/>
  <c r="N70" i="5"/>
  <c r="M25" i="4"/>
  <c r="N25" i="4" s="1"/>
  <c r="M26" i="4"/>
  <c r="N26" i="4" s="1"/>
  <c r="M41" i="4"/>
  <c r="N41" i="4" s="1"/>
  <c r="M32" i="4"/>
  <c r="N32" i="4" s="1"/>
  <c r="M44" i="4"/>
  <c r="N44" i="4" s="1"/>
  <c r="N3" i="5"/>
  <c r="K52" i="4"/>
  <c r="K10" i="4" s="1"/>
  <c r="H19" i="3"/>
  <c r="M31" i="4"/>
  <c r="N31" i="4" s="1"/>
  <c r="M33" i="4"/>
  <c r="N33" i="4" s="1"/>
  <c r="J20" i="3"/>
  <c r="L114" i="5"/>
  <c r="N93" i="5"/>
  <c r="M93" i="5"/>
  <c r="M36" i="4"/>
  <c r="N36" i="4" s="1"/>
  <c r="L52" i="4" l="1"/>
  <c r="M52" i="4" s="1"/>
  <c r="N52" i="4" s="1"/>
  <c r="U5" i="7"/>
  <c r="N114" i="5"/>
  <c r="O93" i="5"/>
  <c r="F37" i="1"/>
  <c r="I16" i="3" a="1"/>
  <c r="I16" i="3" s="1"/>
  <c r="M12" i="4"/>
  <c r="L10" i="4"/>
  <c r="L25" i="3" s="1"/>
  <c r="M25" i="3" s="1"/>
  <c r="H1" i="4" s="1"/>
  <c r="I24" i="1"/>
  <c r="I25" i="1" s="1"/>
  <c r="I26" i="1"/>
  <c r="K20" i="1"/>
  <c r="N7" i="5" s="1"/>
  <c r="O7" i="5" s="1"/>
  <c r="L20" i="1"/>
  <c r="L20" i="3"/>
  <c r="K20" i="3"/>
  <c r="M20" i="3" s="1"/>
  <c r="H21" i="3"/>
  <c r="N10" i="5"/>
  <c r="O12" i="5"/>
  <c r="N15" i="5"/>
  <c r="M4" i="5"/>
  <c r="J21" i="1" a="1"/>
  <c r="J21" i="1" s="1"/>
  <c r="N4" i="5"/>
  <c r="K16" i="1"/>
  <c r="L16" i="1"/>
  <c r="L26" i="1" s="1"/>
  <c r="J26" i="1"/>
  <c r="O3" i="5"/>
  <c r="L16" i="3" l="1"/>
  <c r="K16" i="3"/>
  <c r="K26" i="1"/>
  <c r="M10" i="4"/>
  <c r="H10" i="4" s="1"/>
  <c r="J36" i="1" s="1"/>
  <c r="N12" i="4"/>
  <c r="N10" i="4" s="1"/>
  <c r="O4" i="5"/>
  <c r="K21" i="1"/>
  <c r="N8" i="5" s="1"/>
  <c r="O8" i="5" s="1"/>
  <c r="L21" i="1"/>
  <c r="V5" i="7"/>
  <c r="K37" i="1"/>
  <c r="F38" i="1"/>
  <c r="W5" i="7" s="1"/>
  <c r="F5" i="7" l="1"/>
  <c r="K36" i="1"/>
  <c r="J38" i="1"/>
  <c r="L36" i="1"/>
  <c r="L38" i="1" s="1"/>
  <c r="J5" i="7"/>
  <c r="M37" i="1"/>
  <c r="M16" i="3"/>
  <c r="J31" i="1"/>
  <c r="L528" i="3" a="1"/>
  <c r="L528" i="3" s="1"/>
  <c r="N528" i="3" s="1"/>
  <c r="L505" i="3" a="1"/>
  <c r="L505" i="3" s="1"/>
  <c r="N505" i="3" s="1"/>
  <c r="L502" i="3" a="1"/>
  <c r="L502" i="3" s="1"/>
  <c r="N502" i="3" s="1"/>
  <c r="L499" i="3" a="1"/>
  <c r="L499" i="3" s="1"/>
  <c r="N499" i="3" s="1"/>
  <c r="L496" i="3" a="1"/>
  <c r="L496" i="3" s="1"/>
  <c r="N496" i="3" s="1"/>
  <c r="L473" i="3" a="1"/>
  <c r="L473" i="3" s="1"/>
  <c r="N473" i="3" s="1"/>
  <c r="L470" i="3" a="1"/>
  <c r="L470" i="3" s="1"/>
  <c r="N470" i="3" s="1"/>
  <c r="L467" i="3" a="1"/>
  <c r="L467" i="3" s="1"/>
  <c r="N467" i="3" s="1"/>
  <c r="L464" i="3" a="1"/>
  <c r="L464" i="3" s="1"/>
  <c r="N464" i="3" s="1"/>
  <c r="L441" i="3" a="1"/>
  <c r="L441" i="3" s="1"/>
  <c r="N441" i="3" s="1"/>
  <c r="L437" i="3" a="1"/>
  <c r="L437" i="3" s="1"/>
  <c r="N437" i="3" s="1"/>
  <c r="L433" i="3" a="1"/>
  <c r="L433" i="3" s="1"/>
  <c r="N433" i="3" s="1"/>
  <c r="L429" i="3" a="1"/>
  <c r="L429" i="3" s="1"/>
  <c r="N429" i="3" s="1"/>
  <c r="L425" i="3" a="1"/>
  <c r="L425" i="3" s="1"/>
  <c r="N425" i="3" s="1"/>
  <c r="L421" i="3" a="1"/>
  <c r="L421" i="3" s="1"/>
  <c r="N421" i="3" s="1"/>
  <c r="L417" i="3" a="1"/>
  <c r="L417" i="3" s="1"/>
  <c r="N417" i="3" s="1"/>
  <c r="L413" i="3" a="1"/>
  <c r="L413" i="3" s="1"/>
  <c r="N413" i="3" s="1"/>
  <c r="L409" i="3" a="1"/>
  <c r="L409" i="3" s="1"/>
  <c r="N409" i="3" s="1"/>
  <c r="L405" i="3" a="1"/>
  <c r="L405" i="3" s="1"/>
  <c r="N405" i="3" s="1"/>
  <c r="L401" i="3" a="1"/>
  <c r="L401" i="3" s="1"/>
  <c r="N401" i="3" s="1"/>
  <c r="L397" i="3" a="1"/>
  <c r="L397" i="3" s="1"/>
  <c r="N397" i="3" s="1"/>
  <c r="L393" i="3" a="1"/>
  <c r="L393" i="3" s="1"/>
  <c r="N393" i="3" s="1"/>
  <c r="L389" i="3" a="1"/>
  <c r="L389" i="3" s="1"/>
  <c r="N389" i="3" s="1"/>
  <c r="L385" i="3" a="1"/>
  <c r="L385" i="3" s="1"/>
  <c r="N385" i="3" s="1"/>
  <c r="L381" i="3" a="1"/>
  <c r="L381" i="3" s="1"/>
  <c r="N381" i="3" s="1"/>
  <c r="L377" i="3" a="1"/>
  <c r="L377" i="3" s="1"/>
  <c r="N377" i="3" s="1"/>
  <c r="L373" i="3" a="1"/>
  <c r="L373" i="3" s="1"/>
  <c r="N373" i="3" s="1"/>
  <c r="L369" i="3" a="1"/>
  <c r="L369" i="3" s="1"/>
  <c r="N369" i="3" s="1"/>
  <c r="L365" i="3" a="1"/>
  <c r="L365" i="3" s="1"/>
  <c r="N365" i="3" s="1"/>
  <c r="L361" i="3" a="1"/>
  <c r="L361" i="3" s="1"/>
  <c r="N361" i="3" s="1"/>
  <c r="L357" i="3" a="1"/>
  <c r="L357" i="3" s="1"/>
  <c r="N357" i="3" s="1"/>
  <c r="L517" i="3" a="1"/>
  <c r="L517" i="3" s="1"/>
  <c r="N517" i="3" s="1"/>
  <c r="L514" i="3" a="1"/>
  <c r="L514" i="3" s="1"/>
  <c r="N514" i="3" s="1"/>
  <c r="L511" i="3" a="1"/>
  <c r="L511" i="3" s="1"/>
  <c r="N511" i="3" s="1"/>
  <c r="L508" i="3" a="1"/>
  <c r="L508" i="3" s="1"/>
  <c r="N508" i="3" s="1"/>
  <c r="L485" i="3" a="1"/>
  <c r="L485" i="3" s="1"/>
  <c r="N485" i="3" s="1"/>
  <c r="L482" i="3" a="1"/>
  <c r="L482" i="3" s="1"/>
  <c r="N482" i="3" s="1"/>
  <c r="L479" i="3" a="1"/>
  <c r="L479" i="3" s="1"/>
  <c r="N479" i="3" s="1"/>
  <c r="L476" i="3" a="1"/>
  <c r="L476" i="3" s="1"/>
  <c r="N476" i="3" s="1"/>
  <c r="L453" i="3" a="1"/>
  <c r="L453" i="3" s="1"/>
  <c r="N453" i="3" s="1"/>
  <c r="L450" i="3" a="1"/>
  <c r="L450" i="3" s="1"/>
  <c r="N450" i="3" s="1"/>
  <c r="L447" i="3" a="1"/>
  <c r="L447" i="3" s="1"/>
  <c r="N447" i="3" s="1"/>
  <c r="L444" i="3" a="1"/>
  <c r="L444" i="3" s="1"/>
  <c r="N444" i="3" s="1"/>
  <c r="L526" i="3" a="1"/>
  <c r="L526" i="3" s="1"/>
  <c r="N526" i="3" s="1"/>
  <c r="L523" i="3" a="1"/>
  <c r="L523" i="3" s="1"/>
  <c r="N523" i="3" s="1"/>
  <c r="L520" i="3" a="1"/>
  <c r="L520" i="3" s="1"/>
  <c r="N520" i="3" s="1"/>
  <c r="L497" i="3" a="1"/>
  <c r="L497" i="3" s="1"/>
  <c r="N497" i="3" s="1"/>
  <c r="L494" i="3" a="1"/>
  <c r="L494" i="3" s="1"/>
  <c r="N494" i="3" s="1"/>
  <c r="L491" i="3" a="1"/>
  <c r="L491" i="3" s="1"/>
  <c r="N491" i="3" s="1"/>
  <c r="L488" i="3" a="1"/>
  <c r="L488" i="3" s="1"/>
  <c r="N488" i="3" s="1"/>
  <c r="L465" i="3" a="1"/>
  <c r="L465" i="3" s="1"/>
  <c r="N465" i="3" s="1"/>
  <c r="L462" i="3" a="1"/>
  <c r="L462" i="3" s="1"/>
  <c r="N462" i="3" s="1"/>
  <c r="L459" i="3" a="1"/>
  <c r="L459" i="3" s="1"/>
  <c r="N459" i="3" s="1"/>
  <c r="L456" i="3" a="1"/>
  <c r="L456" i="3" s="1"/>
  <c r="N456" i="3" s="1"/>
  <c r="L438" i="3" a="1"/>
  <c r="L438" i="3" s="1"/>
  <c r="N438" i="3" s="1"/>
  <c r="L434" i="3" a="1"/>
  <c r="L434" i="3" s="1"/>
  <c r="N434" i="3" s="1"/>
  <c r="L430" i="3" a="1"/>
  <c r="L430" i="3" s="1"/>
  <c r="N430" i="3" s="1"/>
  <c r="L426" i="3" a="1"/>
  <c r="L426" i="3" s="1"/>
  <c r="N426" i="3" s="1"/>
  <c r="L422" i="3" a="1"/>
  <c r="L422" i="3" s="1"/>
  <c r="N422" i="3" s="1"/>
  <c r="L418" i="3" a="1"/>
  <c r="L418" i="3" s="1"/>
  <c r="N418" i="3" s="1"/>
  <c r="L414" i="3" a="1"/>
  <c r="L414" i="3" s="1"/>
  <c r="N414" i="3" s="1"/>
  <c r="L410" i="3" a="1"/>
  <c r="L410" i="3" s="1"/>
  <c r="N410" i="3" s="1"/>
  <c r="L406" i="3" a="1"/>
  <c r="L406" i="3" s="1"/>
  <c r="N406" i="3" s="1"/>
  <c r="L402" i="3" a="1"/>
  <c r="L402" i="3" s="1"/>
  <c r="N402" i="3" s="1"/>
  <c r="L398" i="3" a="1"/>
  <c r="L398" i="3" s="1"/>
  <c r="N398" i="3" s="1"/>
  <c r="L525" i="3" a="1"/>
  <c r="L525" i="3" s="1"/>
  <c r="N525" i="3" s="1"/>
  <c r="L522" i="3" a="1"/>
  <c r="L522" i="3" s="1"/>
  <c r="N522" i="3" s="1"/>
  <c r="L519" i="3" a="1"/>
  <c r="L519" i="3" s="1"/>
  <c r="N519" i="3" s="1"/>
  <c r="L516" i="3" a="1"/>
  <c r="L516" i="3" s="1"/>
  <c r="N516" i="3" s="1"/>
  <c r="L493" i="3" a="1"/>
  <c r="L493" i="3" s="1"/>
  <c r="N493" i="3" s="1"/>
  <c r="L490" i="3" a="1"/>
  <c r="L490" i="3" s="1"/>
  <c r="N490" i="3" s="1"/>
  <c r="L487" i="3" a="1"/>
  <c r="L487" i="3" s="1"/>
  <c r="N487" i="3" s="1"/>
  <c r="L484" i="3" a="1"/>
  <c r="L484" i="3" s="1"/>
  <c r="N484" i="3" s="1"/>
  <c r="L461" i="3" a="1"/>
  <c r="L461" i="3" s="1"/>
  <c r="N461" i="3" s="1"/>
  <c r="L458" i="3" a="1"/>
  <c r="L458" i="3" s="1"/>
  <c r="N458" i="3" s="1"/>
  <c r="L455" i="3" a="1"/>
  <c r="L455" i="3" s="1"/>
  <c r="N455" i="3" s="1"/>
  <c r="L452" i="3" a="1"/>
  <c r="L452" i="3" s="1"/>
  <c r="N452" i="3" s="1"/>
  <c r="L492" i="3" a="1"/>
  <c r="L492" i="3" s="1"/>
  <c r="N492" i="3" s="1"/>
  <c r="L489" i="3" a="1"/>
  <c r="L489" i="3" s="1"/>
  <c r="N489" i="3" s="1"/>
  <c r="L481" i="3" a="1"/>
  <c r="L481" i="3" s="1"/>
  <c r="N481" i="3" s="1"/>
  <c r="L466" i="3" a="1"/>
  <c r="L466" i="3" s="1"/>
  <c r="N466" i="3" s="1"/>
  <c r="L431" i="3" a="1"/>
  <c r="L431" i="3" s="1"/>
  <c r="N431" i="3" s="1"/>
  <c r="L420" i="3" a="1"/>
  <c r="L420" i="3" s="1"/>
  <c r="N420" i="3" s="1"/>
  <c r="L403" i="3" a="1"/>
  <c r="L403" i="3" s="1"/>
  <c r="N403" i="3" s="1"/>
  <c r="L387" i="3" a="1"/>
  <c r="L387" i="3" s="1"/>
  <c r="N387" i="3" s="1"/>
  <c r="L384" i="3" a="1"/>
  <c r="L384" i="3" s="1"/>
  <c r="N384" i="3" s="1"/>
  <c r="L371" i="3" a="1"/>
  <c r="L371" i="3" s="1"/>
  <c r="N371" i="3" s="1"/>
  <c r="L368" i="3" a="1"/>
  <c r="L368" i="3" s="1"/>
  <c r="N368" i="3" s="1"/>
  <c r="L355" i="3" a="1"/>
  <c r="L355" i="3" s="1"/>
  <c r="N355" i="3" s="1"/>
  <c r="L351" i="3" a="1"/>
  <c r="L351" i="3" s="1"/>
  <c r="N351" i="3" s="1"/>
  <c r="L347" i="3" a="1"/>
  <c r="L347" i="3" s="1"/>
  <c r="N347" i="3" s="1"/>
  <c r="L343" i="3" a="1"/>
  <c r="L343" i="3" s="1"/>
  <c r="N343" i="3" s="1"/>
  <c r="L339" i="3" a="1"/>
  <c r="L339" i="3" s="1"/>
  <c r="N339" i="3" s="1"/>
  <c r="L335" i="3" a="1"/>
  <c r="L335" i="3" s="1"/>
  <c r="N335" i="3" s="1"/>
  <c r="L331" i="3" a="1"/>
  <c r="L331" i="3" s="1"/>
  <c r="N331" i="3" s="1"/>
  <c r="L327" i="3" a="1"/>
  <c r="L327" i="3" s="1"/>
  <c r="N327" i="3" s="1"/>
  <c r="L323" i="3" a="1"/>
  <c r="L323" i="3" s="1"/>
  <c r="N323" i="3" s="1"/>
  <c r="L319" i="3" a="1"/>
  <c r="L319" i="3" s="1"/>
  <c r="N319" i="3" s="1"/>
  <c r="L315" i="3" a="1"/>
  <c r="L315" i="3" s="1"/>
  <c r="N315" i="3" s="1"/>
  <c r="L311" i="3" a="1"/>
  <c r="L311" i="3" s="1"/>
  <c r="N311" i="3" s="1"/>
  <c r="L307" i="3" a="1"/>
  <c r="L307" i="3" s="1"/>
  <c r="N307" i="3" s="1"/>
  <c r="L303" i="3" a="1"/>
  <c r="L303" i="3" s="1"/>
  <c r="N303" i="3" s="1"/>
  <c r="L299" i="3" a="1"/>
  <c r="L299" i="3" s="1"/>
  <c r="N299" i="3" s="1"/>
  <c r="L295" i="3" a="1"/>
  <c r="L295" i="3" s="1"/>
  <c r="N295" i="3" s="1"/>
  <c r="L291" i="3" a="1"/>
  <c r="L291" i="3" s="1"/>
  <c r="N291" i="3" s="1"/>
  <c r="L506" i="3" a="1"/>
  <c r="L506" i="3" s="1"/>
  <c r="N506" i="3" s="1"/>
  <c r="L504" i="3" a="1"/>
  <c r="L504" i="3" s="1"/>
  <c r="N504" i="3" s="1"/>
  <c r="L486" i="3" a="1"/>
  <c r="L486" i="3" s="1"/>
  <c r="N486" i="3" s="1"/>
  <c r="L478" i="3" a="1"/>
  <c r="L478" i="3" s="1"/>
  <c r="N478" i="3" s="1"/>
  <c r="L468" i="3" a="1"/>
  <c r="L468" i="3" s="1"/>
  <c r="N468" i="3" s="1"/>
  <c r="L442" i="3" a="1"/>
  <c r="L442" i="3" s="1"/>
  <c r="N442" i="3" s="1"/>
  <c r="L440" i="3" a="1"/>
  <c r="L440" i="3" s="1"/>
  <c r="N440" i="3" s="1"/>
  <c r="L424" i="3" a="1"/>
  <c r="L424" i="3" s="1"/>
  <c r="N424" i="3" s="1"/>
  <c r="L416" i="3" a="1"/>
  <c r="L416" i="3" s="1"/>
  <c r="N416" i="3" s="1"/>
  <c r="L399" i="3" a="1"/>
  <c r="L399" i="3" s="1"/>
  <c r="N399" i="3" s="1"/>
  <c r="L394" i="3" a="1"/>
  <c r="L394" i="3" s="1"/>
  <c r="N394" i="3" s="1"/>
  <c r="L378" i="3" a="1"/>
  <c r="L378" i="3" s="1"/>
  <c r="N378" i="3" s="1"/>
  <c r="L362" i="3" a="1"/>
  <c r="L362" i="3" s="1"/>
  <c r="N362" i="3" s="1"/>
  <c r="L527" i="3" a="1"/>
  <c r="L527" i="3" s="1"/>
  <c r="N527" i="3" s="1"/>
  <c r="L501" i="3" a="1"/>
  <c r="L501" i="3" s="1"/>
  <c r="N501" i="3" s="1"/>
  <c r="L483" i="3" a="1"/>
  <c r="L483" i="3" s="1"/>
  <c r="N483" i="3" s="1"/>
  <c r="L463" i="3" a="1"/>
  <c r="L463" i="3" s="1"/>
  <c r="N463" i="3" s="1"/>
  <c r="L435" i="3" a="1"/>
  <c r="L435" i="3" s="1"/>
  <c r="N435" i="3" s="1"/>
  <c r="L412" i="3" a="1"/>
  <c r="L412" i="3" s="1"/>
  <c r="N412" i="3" s="1"/>
  <c r="L391" i="3" a="1"/>
  <c r="L391" i="3" s="1"/>
  <c r="N391" i="3" s="1"/>
  <c r="L388" i="3" a="1"/>
  <c r="L388" i="3" s="1"/>
  <c r="N388" i="3" s="1"/>
  <c r="L375" i="3" a="1"/>
  <c r="L375" i="3" s="1"/>
  <c r="N375" i="3" s="1"/>
  <c r="L372" i="3" a="1"/>
  <c r="L372" i="3" s="1"/>
  <c r="N372" i="3" s="1"/>
  <c r="L359" i="3" a="1"/>
  <c r="L359" i="3" s="1"/>
  <c r="N359" i="3" s="1"/>
  <c r="L356" i="3" a="1"/>
  <c r="L356" i="3" s="1"/>
  <c r="N356" i="3" s="1"/>
  <c r="L352" i="3" a="1"/>
  <c r="L352" i="3" s="1"/>
  <c r="N352" i="3" s="1"/>
  <c r="L348" i="3" a="1"/>
  <c r="L348" i="3" s="1"/>
  <c r="N348" i="3" s="1"/>
  <c r="L344" i="3" a="1"/>
  <c r="L344" i="3" s="1"/>
  <c r="N344" i="3" s="1"/>
  <c r="L340" i="3" a="1"/>
  <c r="L340" i="3" s="1"/>
  <c r="N340" i="3" s="1"/>
  <c r="L336" i="3" a="1"/>
  <c r="L336" i="3" s="1"/>
  <c r="N336" i="3" s="1"/>
  <c r="L332" i="3" a="1"/>
  <c r="L332" i="3" s="1"/>
  <c r="N332" i="3" s="1"/>
  <c r="L500" i="3" a="1"/>
  <c r="L500" i="3" s="1"/>
  <c r="N500" i="3" s="1"/>
  <c r="L469" i="3" a="1"/>
  <c r="L469" i="3" s="1"/>
  <c r="N469" i="3" s="1"/>
  <c r="L445" i="3" a="1"/>
  <c r="L445" i="3" s="1"/>
  <c r="N445" i="3" s="1"/>
  <c r="L436" i="3" a="1"/>
  <c r="L436" i="3" s="1"/>
  <c r="N436" i="3" s="1"/>
  <c r="L386" i="3" a="1"/>
  <c r="L386" i="3" s="1"/>
  <c r="N386" i="3" s="1"/>
  <c r="L380" i="3" a="1"/>
  <c r="L380" i="3" s="1"/>
  <c r="N380" i="3" s="1"/>
  <c r="L342" i="3" a="1"/>
  <c r="L342" i="3" s="1"/>
  <c r="N342" i="3" s="1"/>
  <c r="L329" i="3" a="1"/>
  <c r="L329" i="3" s="1"/>
  <c r="N329" i="3" s="1"/>
  <c r="L314" i="3" a="1"/>
  <c r="L314" i="3" s="1"/>
  <c r="N314" i="3" s="1"/>
  <c r="L301" i="3" a="1"/>
  <c r="L301" i="3" s="1"/>
  <c r="N301" i="3" s="1"/>
  <c r="L298" i="3" a="1"/>
  <c r="L298" i="3" s="1"/>
  <c r="N298" i="3" s="1"/>
  <c r="L288" i="3" a="1"/>
  <c r="L288" i="3" s="1"/>
  <c r="N288" i="3" s="1"/>
  <c r="L284" i="3" a="1"/>
  <c r="L284" i="3" s="1"/>
  <c r="N284" i="3" s="1"/>
  <c r="L280" i="3" a="1"/>
  <c r="L280" i="3" s="1"/>
  <c r="N280" i="3" s="1"/>
  <c r="L276" i="3" a="1"/>
  <c r="L276" i="3" s="1"/>
  <c r="N276" i="3" s="1"/>
  <c r="L272" i="3" a="1"/>
  <c r="L272" i="3" s="1"/>
  <c r="N272" i="3" s="1"/>
  <c r="L268" i="3" a="1"/>
  <c r="L268" i="3" s="1"/>
  <c r="N268" i="3" s="1"/>
  <c r="L264" i="3" a="1"/>
  <c r="L264" i="3" s="1"/>
  <c r="N264" i="3" s="1"/>
  <c r="L260" i="3" a="1"/>
  <c r="L260" i="3" s="1"/>
  <c r="N260" i="3" s="1"/>
  <c r="L256" i="3" a="1"/>
  <c r="L256" i="3" s="1"/>
  <c r="N256" i="3" s="1"/>
  <c r="L252" i="3" a="1"/>
  <c r="L252" i="3" s="1"/>
  <c r="N252" i="3" s="1"/>
  <c r="L248" i="3" a="1"/>
  <c r="L248" i="3" s="1"/>
  <c r="N248" i="3" s="1"/>
  <c r="L244" i="3" a="1"/>
  <c r="L244" i="3" s="1"/>
  <c r="N244" i="3" s="1"/>
  <c r="L240" i="3" a="1"/>
  <c r="L240" i="3" s="1"/>
  <c r="N240" i="3" s="1"/>
  <c r="L236" i="3" a="1"/>
  <c r="L236" i="3" s="1"/>
  <c r="N236" i="3" s="1"/>
  <c r="L232" i="3" a="1"/>
  <c r="L232" i="3" s="1"/>
  <c r="N232" i="3" s="1"/>
  <c r="L228" i="3" a="1"/>
  <c r="L228" i="3" s="1"/>
  <c r="N228" i="3" s="1"/>
  <c r="L224" i="3" a="1"/>
  <c r="L224" i="3" s="1"/>
  <c r="N224" i="3" s="1"/>
  <c r="L220" i="3" a="1"/>
  <c r="L220" i="3" s="1"/>
  <c r="N220" i="3" s="1"/>
  <c r="L216" i="3" a="1"/>
  <c r="L216" i="3" s="1"/>
  <c r="N216" i="3" s="1"/>
  <c r="L212" i="3" a="1"/>
  <c r="L212" i="3" s="1"/>
  <c r="N212" i="3" s="1"/>
  <c r="L208" i="3" a="1"/>
  <c r="L208" i="3" s="1"/>
  <c r="N208" i="3" s="1"/>
  <c r="L524" i="3" a="1"/>
  <c r="L524" i="3" s="1"/>
  <c r="N524" i="3" s="1"/>
  <c r="L513" i="3" a="1"/>
  <c r="L513" i="3" s="1"/>
  <c r="N513" i="3" s="1"/>
  <c r="L510" i="3" a="1"/>
  <c r="L510" i="3" s="1"/>
  <c r="N510" i="3" s="1"/>
  <c r="L507" i="3" a="1"/>
  <c r="L507" i="3" s="1"/>
  <c r="N507" i="3" s="1"/>
  <c r="L503" i="3" a="1"/>
  <c r="L503" i="3" s="1"/>
  <c r="N503" i="3" s="1"/>
  <c r="L475" i="3" a="1"/>
  <c r="L475" i="3" s="1"/>
  <c r="N475" i="3" s="1"/>
  <c r="L472" i="3" a="1"/>
  <c r="L472" i="3" s="1"/>
  <c r="N472" i="3" s="1"/>
  <c r="L451" i="3" a="1"/>
  <c r="L451" i="3" s="1"/>
  <c r="N451" i="3" s="1"/>
  <c r="L448" i="3" a="1"/>
  <c r="L448" i="3" s="1"/>
  <c r="N448" i="3" s="1"/>
  <c r="L423" i="3" a="1"/>
  <c r="L423" i="3" s="1"/>
  <c r="N423" i="3" s="1"/>
  <c r="L415" i="3" a="1"/>
  <c r="L415" i="3" s="1"/>
  <c r="N415" i="3" s="1"/>
  <c r="L407" i="3" a="1"/>
  <c r="L407" i="3" s="1"/>
  <c r="N407" i="3" s="1"/>
  <c r="L392" i="3" a="1"/>
  <c r="L392" i="3" s="1"/>
  <c r="N392" i="3" s="1"/>
  <c r="L390" i="3" a="1"/>
  <c r="L390" i="3" s="1"/>
  <c r="N390" i="3" s="1"/>
  <c r="L353" i="3" a="1"/>
  <c r="L353" i="3" s="1"/>
  <c r="N353" i="3" s="1"/>
  <c r="L338" i="3" a="1"/>
  <c r="L338" i="3" s="1"/>
  <c r="N338" i="3" s="1"/>
  <c r="L322" i="3" a="1"/>
  <c r="L322" i="3" s="1"/>
  <c r="N322" i="3" s="1"/>
  <c r="L317" i="3" a="1"/>
  <c r="L317" i="3" s="1"/>
  <c r="N317" i="3" s="1"/>
  <c r="L308" i="3" a="1"/>
  <c r="L308" i="3" s="1"/>
  <c r="N308" i="3" s="1"/>
  <c r="L292" i="3" a="1"/>
  <c r="L292" i="3" s="1"/>
  <c r="N292" i="3" s="1"/>
  <c r="L454" i="3" a="1"/>
  <c r="L454" i="3" s="1"/>
  <c r="N454" i="3" s="1"/>
  <c r="L432" i="3" a="1"/>
  <c r="L432" i="3" s="1"/>
  <c r="N432" i="3" s="1"/>
  <c r="L404" i="3" a="1"/>
  <c r="L404" i="3" s="1"/>
  <c r="N404" i="3" s="1"/>
  <c r="L367" i="3" a="1"/>
  <c r="L367" i="3" s="1"/>
  <c r="N367" i="3" s="1"/>
  <c r="L363" i="3" a="1"/>
  <c r="L363" i="3" s="1"/>
  <c r="N363" i="3" s="1"/>
  <c r="L349" i="3" a="1"/>
  <c r="L349" i="3" s="1"/>
  <c r="N349" i="3" s="1"/>
  <c r="L334" i="3" a="1"/>
  <c r="L334" i="3" s="1"/>
  <c r="N334" i="3" s="1"/>
  <c r="L320" i="3" a="1"/>
  <c r="L320" i="3" s="1"/>
  <c r="N320" i="3" s="1"/>
  <c r="L305" i="3" a="1"/>
  <c r="L305" i="3" s="1"/>
  <c r="N305" i="3" s="1"/>
  <c r="L302" i="3" a="1"/>
  <c r="L302" i="3" s="1"/>
  <c r="N302" i="3" s="1"/>
  <c r="L289" i="3" a="1"/>
  <c r="L289" i="3" s="1"/>
  <c r="N289" i="3" s="1"/>
  <c r="L285" i="3" a="1"/>
  <c r="L285" i="3" s="1"/>
  <c r="N285" i="3" s="1"/>
  <c r="L281" i="3" a="1"/>
  <c r="L281" i="3" s="1"/>
  <c r="N281" i="3" s="1"/>
  <c r="L277" i="3" a="1"/>
  <c r="L277" i="3" s="1"/>
  <c r="N277" i="3" s="1"/>
  <c r="L521" i="3" a="1"/>
  <c r="L521" i="3" s="1"/>
  <c r="N521" i="3" s="1"/>
  <c r="L439" i="3" a="1"/>
  <c r="L439" i="3" s="1"/>
  <c r="N439" i="3" s="1"/>
  <c r="L400" i="3" a="1"/>
  <c r="L400" i="3" s="1"/>
  <c r="N400" i="3" s="1"/>
  <c r="L382" i="3" a="1"/>
  <c r="L382" i="3" s="1"/>
  <c r="N382" i="3" s="1"/>
  <c r="L376" i="3" a="1"/>
  <c r="L376" i="3" s="1"/>
  <c r="N376" i="3" s="1"/>
  <c r="L374" i="3" a="1"/>
  <c r="L374" i="3" s="1"/>
  <c r="N374" i="3" s="1"/>
  <c r="L346" i="3" a="1"/>
  <c r="L346" i="3" s="1"/>
  <c r="N346" i="3" s="1"/>
  <c r="L324" i="3" a="1"/>
  <c r="L324" i="3" s="1"/>
  <c r="N324" i="3" s="1"/>
  <c r="L304" i="3" a="1"/>
  <c r="L304" i="3" s="1"/>
  <c r="N304" i="3" s="1"/>
  <c r="L480" i="3" a="1"/>
  <c r="L480" i="3" s="1"/>
  <c r="N480" i="3" s="1"/>
  <c r="L443" i="3" a="1"/>
  <c r="L443" i="3" s="1"/>
  <c r="N443" i="3" s="1"/>
  <c r="L358" i="3" a="1"/>
  <c r="L358" i="3" s="1"/>
  <c r="N358" i="3" s="1"/>
  <c r="L330" i="3" a="1"/>
  <c r="L330" i="3" s="1"/>
  <c r="N330" i="3" s="1"/>
  <c r="L316" i="3" a="1"/>
  <c r="L316" i="3" s="1"/>
  <c r="N316" i="3" s="1"/>
  <c r="L309" i="3" a="1"/>
  <c r="L309" i="3" s="1"/>
  <c r="N309" i="3" s="1"/>
  <c r="L287" i="3" a="1"/>
  <c r="L287" i="3" s="1"/>
  <c r="N287" i="3" s="1"/>
  <c r="L273" i="3" a="1"/>
  <c r="L273" i="3" s="1"/>
  <c r="N273" i="3" s="1"/>
  <c r="L269" i="3" a="1"/>
  <c r="L269" i="3" s="1"/>
  <c r="N269" i="3" s="1"/>
  <c r="L258" i="3" a="1"/>
  <c r="L258" i="3" s="1"/>
  <c r="N258" i="3" s="1"/>
  <c r="L255" i="3" a="1"/>
  <c r="L255" i="3" s="1"/>
  <c r="N255" i="3" s="1"/>
  <c r="L242" i="3" a="1"/>
  <c r="L242" i="3" s="1"/>
  <c r="N242" i="3" s="1"/>
  <c r="L239" i="3" a="1"/>
  <c r="L239" i="3" s="1"/>
  <c r="N239" i="3" s="1"/>
  <c r="L226" i="3" a="1"/>
  <c r="L226" i="3" s="1"/>
  <c r="N226" i="3" s="1"/>
  <c r="L223" i="3" a="1"/>
  <c r="L223" i="3" s="1"/>
  <c r="N223" i="3" s="1"/>
  <c r="L210" i="3" a="1"/>
  <c r="L210" i="3" s="1"/>
  <c r="N210" i="3" s="1"/>
  <c r="L207" i="3" a="1"/>
  <c r="L207" i="3" s="1"/>
  <c r="N207" i="3" s="1"/>
  <c r="L512" i="3" a="1"/>
  <c r="L512" i="3" s="1"/>
  <c r="N512" i="3" s="1"/>
  <c r="L474" i="3" a="1"/>
  <c r="L474" i="3" s="1"/>
  <c r="N474" i="3" s="1"/>
  <c r="L460" i="3" a="1"/>
  <c r="L460" i="3" s="1"/>
  <c r="N460" i="3" s="1"/>
  <c r="L446" i="3" a="1"/>
  <c r="L446" i="3" s="1"/>
  <c r="N446" i="3" s="1"/>
  <c r="L428" i="3" a="1"/>
  <c r="L428" i="3" s="1"/>
  <c r="N428" i="3" s="1"/>
  <c r="L408" i="3" a="1"/>
  <c r="L408" i="3" s="1"/>
  <c r="N408" i="3" s="1"/>
  <c r="L345" i="3" a="1"/>
  <c r="L345" i="3" s="1"/>
  <c r="N345" i="3" s="1"/>
  <c r="L333" i="3" a="1"/>
  <c r="L333" i="3" s="1"/>
  <c r="N333" i="3" s="1"/>
  <c r="L306" i="3" a="1"/>
  <c r="L306" i="3" s="1"/>
  <c r="N306" i="3" s="1"/>
  <c r="L296" i="3" a="1"/>
  <c r="L296" i="3" s="1"/>
  <c r="N296" i="3" s="1"/>
  <c r="L294" i="3" a="1"/>
  <c r="L294" i="3" s="1"/>
  <c r="N294" i="3" s="1"/>
  <c r="L282" i="3" a="1"/>
  <c r="L282" i="3" s="1"/>
  <c r="N282" i="3" s="1"/>
  <c r="L271" i="3" a="1"/>
  <c r="L271" i="3" s="1"/>
  <c r="N271" i="3" s="1"/>
  <c r="L267" i="3" a="1"/>
  <c r="L267" i="3" s="1"/>
  <c r="N267" i="3" s="1"/>
  <c r="L265" i="3" a="1"/>
  <c r="L265" i="3" s="1"/>
  <c r="N265" i="3" s="1"/>
  <c r="L249" i="3" a="1"/>
  <c r="L249" i="3" s="1"/>
  <c r="N249" i="3" s="1"/>
  <c r="L233" i="3" a="1"/>
  <c r="L233" i="3" s="1"/>
  <c r="N233" i="3" s="1"/>
  <c r="L217" i="3" a="1"/>
  <c r="L217" i="3" s="1"/>
  <c r="N217" i="3" s="1"/>
  <c r="L204" i="3" a="1"/>
  <c r="L204" i="3" s="1"/>
  <c r="N204" i="3" s="1"/>
  <c r="L200" i="3" a="1"/>
  <c r="L200" i="3" s="1"/>
  <c r="N200" i="3" s="1"/>
  <c r="L196" i="3" a="1"/>
  <c r="L196" i="3" s="1"/>
  <c r="N196" i="3" s="1"/>
  <c r="L192" i="3" a="1"/>
  <c r="L192" i="3" s="1"/>
  <c r="N192" i="3" s="1"/>
  <c r="L188" i="3" a="1"/>
  <c r="L188" i="3" s="1"/>
  <c r="N188" i="3" s="1"/>
  <c r="L396" i="3" a="1"/>
  <c r="L396" i="3" s="1"/>
  <c r="N396" i="3" s="1"/>
  <c r="L383" i="3" a="1"/>
  <c r="L383" i="3" s="1"/>
  <c r="N383" i="3" s="1"/>
  <c r="L370" i="3" a="1"/>
  <c r="L370" i="3" s="1"/>
  <c r="N370" i="3" s="1"/>
  <c r="L364" i="3" a="1"/>
  <c r="L364" i="3" s="1"/>
  <c r="N364" i="3" s="1"/>
  <c r="L360" i="3" a="1"/>
  <c r="L360" i="3" s="1"/>
  <c r="N360" i="3" s="1"/>
  <c r="L354" i="3" a="1"/>
  <c r="L354" i="3" s="1"/>
  <c r="N354" i="3" s="1"/>
  <c r="L275" i="3" a="1"/>
  <c r="L275" i="3" s="1"/>
  <c r="N275" i="3" s="1"/>
  <c r="L262" i="3" a="1"/>
  <c r="L262" i="3" s="1"/>
  <c r="N262" i="3" s="1"/>
  <c r="L259" i="3" a="1"/>
  <c r="L259" i="3" s="1"/>
  <c r="N259" i="3" s="1"/>
  <c r="L246" i="3" a="1"/>
  <c r="L246" i="3" s="1"/>
  <c r="N246" i="3" s="1"/>
  <c r="L243" i="3" a="1"/>
  <c r="L243" i="3" s="1"/>
  <c r="N243" i="3" s="1"/>
  <c r="L230" i="3" a="1"/>
  <c r="L230" i="3" s="1"/>
  <c r="N230" i="3" s="1"/>
  <c r="L227" i="3" a="1"/>
  <c r="L227" i="3" s="1"/>
  <c r="N227" i="3" s="1"/>
  <c r="L214" i="3" a="1"/>
  <c r="L214" i="3" s="1"/>
  <c r="N214" i="3" s="1"/>
  <c r="L211" i="3" a="1"/>
  <c r="L211" i="3" s="1"/>
  <c r="N211" i="3" s="1"/>
  <c r="L498" i="3" a="1"/>
  <c r="L498" i="3" s="1"/>
  <c r="N498" i="3" s="1"/>
  <c r="L325" i="3" a="1"/>
  <c r="L325" i="3" s="1"/>
  <c r="N325" i="3" s="1"/>
  <c r="L297" i="3" a="1"/>
  <c r="L297" i="3" s="1"/>
  <c r="N297" i="3" s="1"/>
  <c r="L278" i="3" a="1"/>
  <c r="L278" i="3" s="1"/>
  <c r="N278" i="3" s="1"/>
  <c r="L261" i="3" a="1"/>
  <c r="L261" i="3" s="1"/>
  <c r="N261" i="3" s="1"/>
  <c r="L245" i="3" a="1"/>
  <c r="L245" i="3" s="1"/>
  <c r="N245" i="3" s="1"/>
  <c r="L229" i="3" a="1"/>
  <c r="L229" i="3" s="1"/>
  <c r="N229" i="3" s="1"/>
  <c r="L213" i="3" a="1"/>
  <c r="L213" i="3" s="1"/>
  <c r="N213" i="3" s="1"/>
  <c r="L203" i="3" a="1"/>
  <c r="L203" i="3" s="1"/>
  <c r="N203" i="3" s="1"/>
  <c r="L199" i="3" a="1"/>
  <c r="L199" i="3" s="1"/>
  <c r="N199" i="3" s="1"/>
  <c r="L495" i="3" a="1"/>
  <c r="L495" i="3" s="1"/>
  <c r="N495" i="3" s="1"/>
  <c r="L477" i="3" a="1"/>
  <c r="L477" i="3" s="1"/>
  <c r="N477" i="3" s="1"/>
  <c r="L471" i="3" a="1"/>
  <c r="L471" i="3" s="1"/>
  <c r="N471" i="3" s="1"/>
  <c r="L419" i="3" a="1"/>
  <c r="L419" i="3" s="1"/>
  <c r="N419" i="3" s="1"/>
  <c r="L238" i="3" a="1"/>
  <c r="L238" i="3" s="1"/>
  <c r="N238" i="3" s="1"/>
  <c r="L206" i="3" a="1"/>
  <c r="L206" i="3" s="1"/>
  <c r="N206" i="3" s="1"/>
  <c r="L201" i="3" a="1"/>
  <c r="L201" i="3" s="1"/>
  <c r="N201" i="3" s="1"/>
  <c r="L181" i="3" a="1"/>
  <c r="L181" i="3" s="1"/>
  <c r="N181" i="3" s="1"/>
  <c r="L178" i="3" a="1"/>
  <c r="L178" i="3" s="1"/>
  <c r="N178" i="3" s="1"/>
  <c r="L175" i="3" a="1"/>
  <c r="L175" i="3" s="1"/>
  <c r="N175" i="3" s="1"/>
  <c r="L152" i="3" a="1"/>
  <c r="L152" i="3" s="1"/>
  <c r="N152" i="3" s="1"/>
  <c r="L149" i="3" a="1"/>
  <c r="L149" i="3" s="1"/>
  <c r="N149" i="3" s="1"/>
  <c r="L146" i="3" a="1"/>
  <c r="L146" i="3" s="1"/>
  <c r="N146" i="3" s="1"/>
  <c r="L143" i="3" a="1"/>
  <c r="L143" i="3" s="1"/>
  <c r="N143" i="3" s="1"/>
  <c r="L120" i="3" a="1"/>
  <c r="L120" i="3" s="1"/>
  <c r="N120" i="3" s="1"/>
  <c r="L117" i="3" a="1"/>
  <c r="L117" i="3" s="1"/>
  <c r="N117" i="3" s="1"/>
  <c r="L114" i="3" a="1"/>
  <c r="L114" i="3" s="1"/>
  <c r="N114" i="3" s="1"/>
  <c r="L111" i="3" a="1"/>
  <c r="L111" i="3" s="1"/>
  <c r="N111" i="3" s="1"/>
  <c r="L88" i="3" a="1"/>
  <c r="L88" i="3" s="1"/>
  <c r="N88" i="3" s="1"/>
  <c r="L85" i="3" a="1"/>
  <c r="L85" i="3" s="1"/>
  <c r="N85" i="3" s="1"/>
  <c r="L366" i="3" a="1"/>
  <c r="L366" i="3" s="1"/>
  <c r="N366" i="3" s="1"/>
  <c r="L318" i="3" a="1"/>
  <c r="L318" i="3" s="1"/>
  <c r="N318" i="3" s="1"/>
  <c r="L257" i="3" a="1"/>
  <c r="L257" i="3" s="1"/>
  <c r="N257" i="3" s="1"/>
  <c r="L250" i="3" a="1"/>
  <c r="L250" i="3" s="1"/>
  <c r="N250" i="3" s="1"/>
  <c r="L225" i="3" a="1"/>
  <c r="L225" i="3" s="1"/>
  <c r="N225" i="3" s="1"/>
  <c r="L218" i="3" a="1"/>
  <c r="L218" i="3" s="1"/>
  <c r="N218" i="3" s="1"/>
  <c r="L164" i="3" a="1"/>
  <c r="L164" i="3" s="1"/>
  <c r="N164" i="3" s="1"/>
  <c r="L161" i="3" a="1"/>
  <c r="L161" i="3" s="1"/>
  <c r="N161" i="3" s="1"/>
  <c r="L158" i="3" a="1"/>
  <c r="L158" i="3" s="1"/>
  <c r="N158" i="3" s="1"/>
  <c r="L155" i="3" a="1"/>
  <c r="L155" i="3" s="1"/>
  <c r="N155" i="3" s="1"/>
  <c r="L132" i="3" a="1"/>
  <c r="L132" i="3" s="1"/>
  <c r="N132" i="3" s="1"/>
  <c r="L129" i="3" a="1"/>
  <c r="L129" i="3" s="1"/>
  <c r="N129" i="3" s="1"/>
  <c r="L126" i="3" a="1"/>
  <c r="L126" i="3" s="1"/>
  <c r="N126" i="3" s="1"/>
  <c r="L123" i="3" a="1"/>
  <c r="L123" i="3" s="1"/>
  <c r="N123" i="3" s="1"/>
  <c r="L100" i="3" a="1"/>
  <c r="L100" i="3" s="1"/>
  <c r="N100" i="3" s="1"/>
  <c r="L97" i="3" a="1"/>
  <c r="L97" i="3" s="1"/>
  <c r="N97" i="3" s="1"/>
  <c r="L94" i="3" a="1"/>
  <c r="L94" i="3" s="1"/>
  <c r="N94" i="3" s="1"/>
  <c r="L91" i="3" a="1"/>
  <c r="L91" i="3" s="1"/>
  <c r="N91" i="3" s="1"/>
  <c r="L82" i="3" a="1"/>
  <c r="L82" i="3" s="1"/>
  <c r="N82" i="3" s="1"/>
  <c r="L78" i="3" a="1"/>
  <c r="L78" i="3" s="1"/>
  <c r="N78" i="3" s="1"/>
  <c r="L74" i="3" a="1"/>
  <c r="L74" i="3" s="1"/>
  <c r="N74" i="3" s="1"/>
  <c r="L70" i="3" a="1"/>
  <c r="L70" i="3" s="1"/>
  <c r="N70" i="3" s="1"/>
  <c r="L66" i="3" a="1"/>
  <c r="L66" i="3" s="1"/>
  <c r="N66" i="3" s="1"/>
  <c r="L62" i="3" a="1"/>
  <c r="L62" i="3" s="1"/>
  <c r="N62" i="3" s="1"/>
  <c r="L58" i="3" a="1"/>
  <c r="L58" i="3" s="1"/>
  <c r="N58" i="3" s="1"/>
  <c r="L54" i="3" a="1"/>
  <c r="L54" i="3" s="1"/>
  <c r="N54" i="3" s="1"/>
  <c r="L50" i="3" a="1"/>
  <c r="L50" i="3" s="1"/>
  <c r="N50" i="3" s="1"/>
  <c r="L46" i="3" a="1"/>
  <c r="L46" i="3" s="1"/>
  <c r="N46" i="3" s="1"/>
  <c r="L42" i="3" a="1"/>
  <c r="L42" i="3" s="1"/>
  <c r="N42" i="3" s="1"/>
  <c r="L38" i="3" a="1"/>
  <c r="L38" i="3" s="1"/>
  <c r="N38" i="3" s="1"/>
  <c r="L34" i="3" a="1"/>
  <c r="L34" i="3" s="1"/>
  <c r="N34" i="3" s="1"/>
  <c r="L30" i="3" a="1"/>
  <c r="L30" i="3" s="1"/>
  <c r="N30" i="3" s="1"/>
  <c r="L395" i="3" a="1"/>
  <c r="L395" i="3" s="1"/>
  <c r="N395" i="3" s="1"/>
  <c r="L270" i="3" a="1"/>
  <c r="L270" i="3" s="1"/>
  <c r="N270" i="3" s="1"/>
  <c r="L247" i="3" a="1"/>
  <c r="L247" i="3" s="1"/>
  <c r="N247" i="3" s="1"/>
  <c r="L237" i="3" a="1"/>
  <c r="L237" i="3" s="1"/>
  <c r="N237" i="3" s="1"/>
  <c r="L235" i="3" a="1"/>
  <c r="L235" i="3" s="1"/>
  <c r="N235" i="3" s="1"/>
  <c r="L215" i="3" a="1"/>
  <c r="L215" i="3" s="1"/>
  <c r="N215" i="3" s="1"/>
  <c r="L205" i="3" a="1"/>
  <c r="L205" i="3" s="1"/>
  <c r="N205" i="3" s="1"/>
  <c r="L194" i="3" a="1"/>
  <c r="L194" i="3" s="1"/>
  <c r="N194" i="3" s="1"/>
  <c r="L190" i="3" a="1"/>
  <c r="L190" i="3" s="1"/>
  <c r="N190" i="3" s="1"/>
  <c r="L186" i="3" a="1"/>
  <c r="L186" i="3" s="1"/>
  <c r="N186" i="3" s="1"/>
  <c r="L184" i="3" a="1"/>
  <c r="L184" i="3" s="1"/>
  <c r="N184" i="3" s="1"/>
  <c r="L176" i="3" a="1"/>
  <c r="L176" i="3" s="1"/>
  <c r="N176" i="3" s="1"/>
  <c r="L173" i="3" a="1"/>
  <c r="L173" i="3" s="1"/>
  <c r="N173" i="3" s="1"/>
  <c r="L170" i="3" a="1"/>
  <c r="L170" i="3" s="1"/>
  <c r="N170" i="3" s="1"/>
  <c r="L167" i="3" a="1"/>
  <c r="L167" i="3" s="1"/>
  <c r="N167" i="3" s="1"/>
  <c r="L144" i="3" a="1"/>
  <c r="L144" i="3" s="1"/>
  <c r="N144" i="3" s="1"/>
  <c r="L141" i="3" a="1"/>
  <c r="L141" i="3" s="1"/>
  <c r="N141" i="3" s="1"/>
  <c r="L138" i="3" a="1"/>
  <c r="L138" i="3" s="1"/>
  <c r="N138" i="3" s="1"/>
  <c r="L135" i="3" a="1"/>
  <c r="L135" i="3" s="1"/>
  <c r="N135" i="3" s="1"/>
  <c r="L112" i="3" a="1"/>
  <c r="L112" i="3" s="1"/>
  <c r="N112" i="3" s="1"/>
  <c r="L109" i="3" a="1"/>
  <c r="L109" i="3" s="1"/>
  <c r="N109" i="3" s="1"/>
  <c r="L106" i="3" a="1"/>
  <c r="L106" i="3" s="1"/>
  <c r="N106" i="3" s="1"/>
  <c r="L103" i="3" a="1"/>
  <c r="L103" i="3" s="1"/>
  <c r="N103" i="3" s="1"/>
  <c r="L518" i="3" a="1"/>
  <c r="L518" i="3" s="1"/>
  <c r="N518" i="3" s="1"/>
  <c r="L328" i="3" a="1"/>
  <c r="L328" i="3" s="1"/>
  <c r="N328" i="3" s="1"/>
  <c r="L274" i="3" a="1"/>
  <c r="L274" i="3" s="1"/>
  <c r="N274" i="3" s="1"/>
  <c r="L183" i="3" a="1"/>
  <c r="L183" i="3" s="1"/>
  <c r="N183" i="3" s="1"/>
  <c r="L172" i="3" a="1"/>
  <c r="L172" i="3" s="1"/>
  <c r="N172" i="3" s="1"/>
  <c r="L169" i="3" a="1"/>
  <c r="L169" i="3" s="1"/>
  <c r="N169" i="3" s="1"/>
  <c r="L166" i="3" a="1"/>
  <c r="L166" i="3" s="1"/>
  <c r="N166" i="3" s="1"/>
  <c r="L163" i="3" a="1"/>
  <c r="L163" i="3" s="1"/>
  <c r="N163" i="3" s="1"/>
  <c r="L140" i="3" a="1"/>
  <c r="L140" i="3" s="1"/>
  <c r="N140" i="3" s="1"/>
  <c r="L137" i="3" a="1"/>
  <c r="L137" i="3" s="1"/>
  <c r="N137" i="3" s="1"/>
  <c r="L134" i="3" a="1"/>
  <c r="L134" i="3" s="1"/>
  <c r="N134" i="3" s="1"/>
  <c r="L131" i="3" a="1"/>
  <c r="L131" i="3" s="1"/>
  <c r="N131" i="3" s="1"/>
  <c r="L108" i="3" a="1"/>
  <c r="L108" i="3" s="1"/>
  <c r="N108" i="3" s="1"/>
  <c r="L105" i="3" a="1"/>
  <c r="L105" i="3" s="1"/>
  <c r="N105" i="3" s="1"/>
  <c r="L102" i="3" a="1"/>
  <c r="L102" i="3" s="1"/>
  <c r="N102" i="3" s="1"/>
  <c r="L99" i="3" a="1"/>
  <c r="L99" i="3" s="1"/>
  <c r="N99" i="3" s="1"/>
  <c r="L81" i="3" a="1"/>
  <c r="L81" i="3" s="1"/>
  <c r="N81" i="3" s="1"/>
  <c r="L77" i="3" a="1"/>
  <c r="L77" i="3" s="1"/>
  <c r="N77" i="3" s="1"/>
  <c r="L73" i="3" a="1"/>
  <c r="L73" i="3" s="1"/>
  <c r="N73" i="3" s="1"/>
  <c r="L69" i="3" a="1"/>
  <c r="L69" i="3" s="1"/>
  <c r="N69" i="3" s="1"/>
  <c r="L65" i="3" a="1"/>
  <c r="L65" i="3" s="1"/>
  <c r="N65" i="3" s="1"/>
  <c r="L61" i="3" a="1"/>
  <c r="L61" i="3" s="1"/>
  <c r="N61" i="3" s="1"/>
  <c r="L57" i="3" a="1"/>
  <c r="L57" i="3" s="1"/>
  <c r="N57" i="3" s="1"/>
  <c r="L53" i="3" a="1"/>
  <c r="L53" i="3" s="1"/>
  <c r="N53" i="3" s="1"/>
  <c r="L49" i="3" a="1"/>
  <c r="L49" i="3" s="1"/>
  <c r="N49" i="3" s="1"/>
  <c r="L45" i="3" a="1"/>
  <c r="L45" i="3" s="1"/>
  <c r="N45" i="3" s="1"/>
  <c r="L41" i="3" a="1"/>
  <c r="L41" i="3" s="1"/>
  <c r="N41" i="3" s="1"/>
  <c r="L37" i="3" a="1"/>
  <c r="L37" i="3" s="1"/>
  <c r="N37" i="3" s="1"/>
  <c r="L33" i="3" a="1"/>
  <c r="L33" i="3" s="1"/>
  <c r="N33" i="3" s="1"/>
  <c r="L29" i="3" a="1"/>
  <c r="L29" i="3" s="1"/>
  <c r="N29" i="3" s="1"/>
  <c r="L300" i="3" a="1"/>
  <c r="L300" i="3" s="1"/>
  <c r="N300" i="3" s="1"/>
  <c r="L241" i="3" a="1"/>
  <c r="L241" i="3" s="1"/>
  <c r="N241" i="3" s="1"/>
  <c r="L222" i="3" a="1"/>
  <c r="L222" i="3" s="1"/>
  <c r="N222" i="3" s="1"/>
  <c r="L219" i="3" a="1"/>
  <c r="L219" i="3" s="1"/>
  <c r="N219" i="3" s="1"/>
  <c r="L197" i="3" a="1"/>
  <c r="L197" i="3" s="1"/>
  <c r="N197" i="3" s="1"/>
  <c r="L185" i="3" a="1"/>
  <c r="L185" i="3" s="1"/>
  <c r="N185" i="3" s="1"/>
  <c r="L182" i="3" a="1"/>
  <c r="L182" i="3" s="1"/>
  <c r="N182" i="3" s="1"/>
  <c r="L159" i="3" a="1"/>
  <c r="L159" i="3" s="1"/>
  <c r="N159" i="3" s="1"/>
  <c r="L156" i="3" a="1"/>
  <c r="L156" i="3" s="1"/>
  <c r="N156" i="3" s="1"/>
  <c r="L154" i="3" a="1"/>
  <c r="L154" i="3" s="1"/>
  <c r="N154" i="3" s="1"/>
  <c r="L118" i="3" a="1"/>
  <c r="L118" i="3" s="1"/>
  <c r="N118" i="3" s="1"/>
  <c r="L95" i="3" a="1"/>
  <c r="L95" i="3" s="1"/>
  <c r="N95" i="3" s="1"/>
  <c r="L92" i="3" a="1"/>
  <c r="L92" i="3" s="1"/>
  <c r="N92" i="3" s="1"/>
  <c r="L90" i="3" a="1"/>
  <c r="L90" i="3" s="1"/>
  <c r="N90" i="3" s="1"/>
  <c r="L71" i="3" a="1"/>
  <c r="L71" i="3" s="1"/>
  <c r="N71" i="3" s="1"/>
  <c r="L55" i="3" a="1"/>
  <c r="L55" i="3" s="1"/>
  <c r="N55" i="3" s="1"/>
  <c r="L39" i="3" a="1"/>
  <c r="L39" i="3" s="1"/>
  <c r="N39" i="3" s="1"/>
  <c r="L427" i="3" a="1"/>
  <c r="L427" i="3" s="1"/>
  <c r="N427" i="3" s="1"/>
  <c r="L321" i="3" a="1"/>
  <c r="L321" i="3" s="1"/>
  <c r="N321" i="3" s="1"/>
  <c r="L290" i="3" a="1"/>
  <c r="L290" i="3" s="1"/>
  <c r="N290" i="3" s="1"/>
  <c r="L191" i="3" a="1"/>
  <c r="L191" i="3" s="1"/>
  <c r="N191" i="3" s="1"/>
  <c r="L177" i="3" a="1"/>
  <c r="L177" i="3" s="1"/>
  <c r="N177" i="3" s="1"/>
  <c r="L139" i="3" a="1"/>
  <c r="L139" i="3" s="1"/>
  <c r="N139" i="3" s="1"/>
  <c r="L136" i="3" a="1"/>
  <c r="L136" i="3" s="1"/>
  <c r="N136" i="3" s="1"/>
  <c r="L128" i="3" a="1"/>
  <c r="L128" i="3" s="1"/>
  <c r="N128" i="3" s="1"/>
  <c r="L113" i="3" a="1"/>
  <c r="L113" i="3" s="1"/>
  <c r="N113" i="3" s="1"/>
  <c r="L80" i="3" a="1"/>
  <c r="L80" i="3" s="1"/>
  <c r="N80" i="3" s="1"/>
  <c r="L64" i="3" a="1"/>
  <c r="L64" i="3" s="1"/>
  <c r="N64" i="3" s="1"/>
  <c r="L48" i="3" a="1"/>
  <c r="L48" i="3" s="1"/>
  <c r="N48" i="3" s="1"/>
  <c r="L32" i="3" a="1"/>
  <c r="L32" i="3" s="1"/>
  <c r="N32" i="3" s="1"/>
  <c r="L310" i="3" a="1"/>
  <c r="L310" i="3" s="1"/>
  <c r="N310" i="3" s="1"/>
  <c r="L263" i="3" a="1"/>
  <c r="L263" i="3" s="1"/>
  <c r="N263" i="3" s="1"/>
  <c r="L221" i="3" a="1"/>
  <c r="L221" i="3" s="1"/>
  <c r="N221" i="3" s="1"/>
  <c r="L193" i="3" a="1"/>
  <c r="L193" i="3" s="1"/>
  <c r="N193" i="3" s="1"/>
  <c r="L179" i="3" a="1"/>
  <c r="L179" i="3" s="1"/>
  <c r="N179" i="3" s="1"/>
  <c r="L153" i="3" a="1"/>
  <c r="L153" i="3" s="1"/>
  <c r="N153" i="3" s="1"/>
  <c r="L151" i="3" a="1"/>
  <c r="L151" i="3" s="1"/>
  <c r="N151" i="3" s="1"/>
  <c r="L133" i="3" a="1"/>
  <c r="L133" i="3" s="1"/>
  <c r="N133" i="3" s="1"/>
  <c r="L125" i="3" a="1"/>
  <c r="L125" i="3" s="1"/>
  <c r="N125" i="3" s="1"/>
  <c r="L115" i="3" a="1"/>
  <c r="L115" i="3" s="1"/>
  <c r="N115" i="3" s="1"/>
  <c r="L89" i="3" a="1"/>
  <c r="L89" i="3" s="1"/>
  <c r="N89" i="3" s="1"/>
  <c r="L87" i="3" a="1"/>
  <c r="L87" i="3" s="1"/>
  <c r="N87" i="3" s="1"/>
  <c r="L75" i="3" a="1"/>
  <c r="L75" i="3" s="1"/>
  <c r="N75" i="3" s="1"/>
  <c r="L59" i="3" a="1"/>
  <c r="L59" i="3" s="1"/>
  <c r="N59" i="3" s="1"/>
  <c r="L43" i="3" a="1"/>
  <c r="L43" i="3" s="1"/>
  <c r="N43" i="3" s="1"/>
  <c r="L411" i="3" a="1"/>
  <c r="L411" i="3" s="1"/>
  <c r="N411" i="3" s="1"/>
  <c r="L337" i="3" a="1"/>
  <c r="L337" i="3" s="1"/>
  <c r="N337" i="3" s="1"/>
  <c r="L326" i="3" a="1"/>
  <c r="L326" i="3" s="1"/>
  <c r="N326" i="3" s="1"/>
  <c r="L266" i="3" a="1"/>
  <c r="L266" i="3" s="1"/>
  <c r="N266" i="3" s="1"/>
  <c r="L341" i="3" a="1"/>
  <c r="L341" i="3" s="1"/>
  <c r="N341" i="3" s="1"/>
  <c r="L313" i="3" a="1"/>
  <c r="L313" i="3" s="1"/>
  <c r="N313" i="3" s="1"/>
  <c r="L293" i="3" a="1"/>
  <c r="L293" i="3" s="1"/>
  <c r="N293" i="3" s="1"/>
  <c r="L279" i="3" a="1"/>
  <c r="L279" i="3" s="1"/>
  <c r="N279" i="3" s="1"/>
  <c r="L254" i="3" a="1"/>
  <c r="L254" i="3" s="1"/>
  <c r="N254" i="3" s="1"/>
  <c r="L251" i="3" a="1"/>
  <c r="L251" i="3" s="1"/>
  <c r="N251" i="3" s="1"/>
  <c r="L457" i="3" a="1"/>
  <c r="L457" i="3" s="1"/>
  <c r="N457" i="3" s="1"/>
  <c r="L449" i="3" a="1"/>
  <c r="L449" i="3" s="1"/>
  <c r="N449" i="3" s="1"/>
  <c r="L379" i="3" a="1"/>
  <c r="L379" i="3" s="1"/>
  <c r="N379" i="3" s="1"/>
  <c r="L312" i="3" a="1"/>
  <c r="L312" i="3" s="1"/>
  <c r="N312" i="3" s="1"/>
  <c r="L283" i="3" a="1"/>
  <c r="L283" i="3" s="1"/>
  <c r="N283" i="3" s="1"/>
  <c r="L253" i="3" a="1"/>
  <c r="L253" i="3" s="1"/>
  <c r="N253" i="3" s="1"/>
  <c r="L515" i="3" a="1"/>
  <c r="L515" i="3" s="1"/>
  <c r="N515" i="3" s="1"/>
  <c r="L509" i="3" a="1"/>
  <c r="L509" i="3" s="1"/>
  <c r="N509" i="3" s="1"/>
  <c r="L350" i="3" a="1"/>
  <c r="L350" i="3" s="1"/>
  <c r="N350" i="3" s="1"/>
  <c r="L286" i="3" a="1"/>
  <c r="L286" i="3" s="1"/>
  <c r="N286" i="3" s="1"/>
  <c r="L234" i="3" a="1"/>
  <c r="L234" i="3" s="1"/>
  <c r="N234" i="3" s="1"/>
  <c r="L180" i="3" a="1"/>
  <c r="L180" i="3" s="1"/>
  <c r="N180" i="3" s="1"/>
  <c r="L162" i="3" a="1"/>
  <c r="L162" i="3" s="1"/>
  <c r="N162" i="3" s="1"/>
  <c r="L142" i="3" a="1"/>
  <c r="L142" i="3" s="1"/>
  <c r="N142" i="3" s="1"/>
  <c r="L116" i="3" a="1"/>
  <c r="L116" i="3" s="1"/>
  <c r="N116" i="3" s="1"/>
  <c r="L98" i="3" a="1"/>
  <c r="L98" i="3" s="1"/>
  <c r="N98" i="3" s="1"/>
  <c r="L76" i="3" a="1"/>
  <c r="L76" i="3" s="1"/>
  <c r="N76" i="3" s="1"/>
  <c r="L60" i="3" a="1"/>
  <c r="L60" i="3" s="1"/>
  <c r="N60" i="3" s="1"/>
  <c r="L44" i="3" a="1"/>
  <c r="L44" i="3" s="1"/>
  <c r="N44" i="3" s="1"/>
  <c r="L231" i="3" a="1"/>
  <c r="L231" i="3" s="1"/>
  <c r="N231" i="3" s="1"/>
  <c r="L165" i="3" a="1"/>
  <c r="L165" i="3" s="1"/>
  <c r="N165" i="3" s="1"/>
  <c r="L110" i="3" a="1"/>
  <c r="L110" i="3" s="1"/>
  <c r="N110" i="3" s="1"/>
  <c r="L107" i="3" a="1"/>
  <c r="L107" i="3" s="1"/>
  <c r="N107" i="3" s="1"/>
  <c r="L209" i="3" a="1"/>
  <c r="L209" i="3" s="1"/>
  <c r="N209" i="3" s="1"/>
  <c r="L168" i="3" a="1"/>
  <c r="L168" i="3" s="1"/>
  <c r="N168" i="3" s="1"/>
  <c r="L157" i="3" a="1"/>
  <c r="L157" i="3" s="1"/>
  <c r="N157" i="3" s="1"/>
  <c r="L121" i="3" a="1"/>
  <c r="L121" i="3" s="1"/>
  <c r="N121" i="3" s="1"/>
  <c r="L83" i="3" a="1"/>
  <c r="L83" i="3" s="1"/>
  <c r="N83" i="3" s="1"/>
  <c r="L79" i="3" a="1"/>
  <c r="L79" i="3" s="1"/>
  <c r="N79" i="3" s="1"/>
  <c r="L72" i="3" a="1"/>
  <c r="L72" i="3" s="1"/>
  <c r="N72" i="3" s="1"/>
  <c r="L51" i="3" a="1"/>
  <c r="L51" i="3" s="1"/>
  <c r="N51" i="3" s="1"/>
  <c r="L47" i="3" a="1"/>
  <c r="L47" i="3" s="1"/>
  <c r="N47" i="3" s="1"/>
  <c r="L40" i="3" a="1"/>
  <c r="L40" i="3" s="1"/>
  <c r="N40" i="3" s="1"/>
  <c r="L148" i="3" a="1"/>
  <c r="L148" i="3" s="1"/>
  <c r="N148" i="3" s="1"/>
  <c r="L145" i="3" a="1"/>
  <c r="L145" i="3" s="1"/>
  <c r="N145" i="3" s="1"/>
  <c r="L124" i="3" a="1"/>
  <c r="L124" i="3" s="1"/>
  <c r="N124" i="3" s="1"/>
  <c r="L86" i="3" a="1"/>
  <c r="L86" i="3" s="1"/>
  <c r="N86" i="3" s="1"/>
  <c r="L68" i="3" a="1"/>
  <c r="L68" i="3" s="1"/>
  <c r="N68" i="3" s="1"/>
  <c r="L36" i="3" a="1"/>
  <c r="L36" i="3" s="1"/>
  <c r="N36" i="3" s="1"/>
  <c r="L187" i="3" a="1"/>
  <c r="L187" i="3" s="1"/>
  <c r="N187" i="3" s="1"/>
  <c r="L160" i="3" a="1"/>
  <c r="L160" i="3" s="1"/>
  <c r="N160" i="3" s="1"/>
  <c r="L198" i="3" a="1"/>
  <c r="L198" i="3" s="1"/>
  <c r="N198" i="3" s="1"/>
  <c r="L195" i="3" a="1"/>
  <c r="L195" i="3" s="1"/>
  <c r="N195" i="3" s="1"/>
  <c r="L174" i="3" a="1"/>
  <c r="L174" i="3" s="1"/>
  <c r="N174" i="3" s="1"/>
  <c r="L171" i="3" a="1"/>
  <c r="L171" i="3" s="1"/>
  <c r="N171" i="3" s="1"/>
  <c r="L101" i="3" a="1"/>
  <c r="L101" i="3" s="1"/>
  <c r="N101" i="3" s="1"/>
  <c r="L202" i="3" a="1"/>
  <c r="L202" i="3" s="1"/>
  <c r="N202" i="3" s="1"/>
  <c r="L147" i="3" a="1"/>
  <c r="L147" i="3" s="1"/>
  <c r="N147" i="3" s="1"/>
  <c r="L127" i="3" a="1"/>
  <c r="L127" i="3" s="1"/>
  <c r="N127" i="3" s="1"/>
  <c r="L104" i="3" a="1"/>
  <c r="L104" i="3" s="1"/>
  <c r="N104" i="3" s="1"/>
  <c r="L93" i="3" a="1"/>
  <c r="L93" i="3" s="1"/>
  <c r="N93" i="3" s="1"/>
  <c r="L67" i="3" a="1"/>
  <c r="L67" i="3" s="1"/>
  <c r="N67" i="3" s="1"/>
  <c r="L63" i="3" a="1"/>
  <c r="L63" i="3" s="1"/>
  <c r="N63" i="3" s="1"/>
  <c r="L56" i="3" a="1"/>
  <c r="L56" i="3" s="1"/>
  <c r="N56" i="3" s="1"/>
  <c r="L35" i="3" a="1"/>
  <c r="L35" i="3" s="1"/>
  <c r="N35" i="3" s="1"/>
  <c r="L31" i="3" a="1"/>
  <c r="L31" i="3" s="1"/>
  <c r="N31" i="3" s="1"/>
  <c r="L189" i="3" a="1"/>
  <c r="L189" i="3" s="1"/>
  <c r="N189" i="3" s="1"/>
  <c r="L150" i="3" a="1"/>
  <c r="L150" i="3" s="1"/>
  <c r="N150" i="3" s="1"/>
  <c r="L84" i="3" a="1"/>
  <c r="L84" i="3" s="1"/>
  <c r="N84" i="3" s="1"/>
  <c r="L52" i="3" a="1"/>
  <c r="L52" i="3" s="1"/>
  <c r="N52" i="3" s="1"/>
  <c r="L130" i="3" a="1"/>
  <c r="L130" i="3" s="1"/>
  <c r="N130" i="3" s="1"/>
  <c r="L122" i="3" a="1"/>
  <c r="L122" i="3" s="1"/>
  <c r="N122" i="3" s="1"/>
  <c r="L119" i="3" a="1"/>
  <c r="L119" i="3" s="1"/>
  <c r="N119" i="3" s="1"/>
  <c r="L96" i="3" a="1"/>
  <c r="L96" i="3" s="1"/>
  <c r="N96" i="3" s="1"/>
  <c r="N27" i="3" l="1"/>
  <c r="N25" i="3" s="1"/>
  <c r="I17" i="3" s="1"/>
  <c r="K5" i="7"/>
  <c r="H5" i="7"/>
  <c r="M525" i="3"/>
  <c r="O525" i="3" s="1"/>
  <c r="M521" i="3"/>
  <c r="O521" i="3" s="1"/>
  <c r="M517" i="3"/>
  <c r="O517" i="3" s="1"/>
  <c r="M513" i="3"/>
  <c r="O513" i="3" s="1"/>
  <c r="M509" i="3"/>
  <c r="O509" i="3" s="1"/>
  <c r="M505" i="3"/>
  <c r="O505" i="3" s="1"/>
  <c r="M501" i="3"/>
  <c r="O501" i="3" s="1"/>
  <c r="M497" i="3"/>
  <c r="O497" i="3" s="1"/>
  <c r="M493" i="3"/>
  <c r="O493" i="3" s="1"/>
  <c r="M489" i="3"/>
  <c r="O489" i="3" s="1"/>
  <c r="M485" i="3"/>
  <c r="O485" i="3" s="1"/>
  <c r="M481" i="3"/>
  <c r="O481" i="3" s="1"/>
  <c r="M477" i="3"/>
  <c r="O477" i="3" s="1"/>
  <c r="M473" i="3"/>
  <c r="O473" i="3" s="1"/>
  <c r="M469" i="3"/>
  <c r="O469" i="3" s="1"/>
  <c r="M465" i="3"/>
  <c r="O465" i="3" s="1"/>
  <c r="M461" i="3"/>
  <c r="O461" i="3" s="1"/>
  <c r="M457" i="3"/>
  <c r="O457" i="3" s="1"/>
  <c r="M453" i="3"/>
  <c r="O453" i="3" s="1"/>
  <c r="M449" i="3"/>
  <c r="O449" i="3" s="1"/>
  <c r="M445" i="3"/>
  <c r="O445" i="3" s="1"/>
  <c r="M441" i="3"/>
  <c r="O441" i="3" s="1"/>
  <c r="M514" i="3"/>
  <c r="O514" i="3" s="1"/>
  <c r="M511" i="3"/>
  <c r="O511" i="3" s="1"/>
  <c r="M508" i="3"/>
  <c r="O508" i="3" s="1"/>
  <c r="M482" i="3"/>
  <c r="O482" i="3" s="1"/>
  <c r="M479" i="3"/>
  <c r="O479" i="3" s="1"/>
  <c r="M476" i="3"/>
  <c r="O476" i="3" s="1"/>
  <c r="M450" i="3"/>
  <c r="O450" i="3" s="1"/>
  <c r="M447" i="3"/>
  <c r="O447" i="3" s="1"/>
  <c r="M444" i="3"/>
  <c r="O444" i="3" s="1"/>
  <c r="M526" i="3"/>
  <c r="O526" i="3" s="1"/>
  <c r="M523" i="3"/>
  <c r="O523" i="3" s="1"/>
  <c r="M520" i="3"/>
  <c r="O520" i="3" s="1"/>
  <c r="M494" i="3"/>
  <c r="O494" i="3" s="1"/>
  <c r="M491" i="3"/>
  <c r="O491" i="3" s="1"/>
  <c r="M488" i="3"/>
  <c r="O488" i="3" s="1"/>
  <c r="M462" i="3"/>
  <c r="O462" i="3" s="1"/>
  <c r="M459" i="3"/>
  <c r="O459" i="3" s="1"/>
  <c r="M456" i="3"/>
  <c r="O456" i="3" s="1"/>
  <c r="M438" i="3"/>
  <c r="O438" i="3" s="1"/>
  <c r="M434" i="3"/>
  <c r="O434" i="3" s="1"/>
  <c r="M430" i="3"/>
  <c r="O430" i="3" s="1"/>
  <c r="M426" i="3"/>
  <c r="O426" i="3" s="1"/>
  <c r="M422" i="3"/>
  <c r="O422" i="3" s="1"/>
  <c r="M418" i="3"/>
  <c r="O418" i="3" s="1"/>
  <c r="M414" i="3"/>
  <c r="O414" i="3" s="1"/>
  <c r="M410" i="3"/>
  <c r="O410" i="3" s="1"/>
  <c r="M406" i="3"/>
  <c r="O406" i="3" s="1"/>
  <c r="M402" i="3"/>
  <c r="O402" i="3" s="1"/>
  <c r="M398" i="3"/>
  <c r="O398" i="3" s="1"/>
  <c r="M506" i="3"/>
  <c r="O506" i="3" s="1"/>
  <c r="M503" i="3"/>
  <c r="O503" i="3" s="1"/>
  <c r="M500" i="3"/>
  <c r="O500" i="3" s="1"/>
  <c r="M474" i="3"/>
  <c r="O474" i="3" s="1"/>
  <c r="M471" i="3"/>
  <c r="O471" i="3" s="1"/>
  <c r="M468" i="3"/>
  <c r="O468" i="3" s="1"/>
  <c r="M442" i="3"/>
  <c r="O442" i="3" s="1"/>
  <c r="M528" i="3"/>
  <c r="O528" i="3" s="1"/>
  <c r="M502" i="3"/>
  <c r="O502" i="3" s="1"/>
  <c r="M499" i="3"/>
  <c r="O499" i="3" s="1"/>
  <c r="M496" i="3"/>
  <c r="O496" i="3" s="1"/>
  <c r="M470" i="3"/>
  <c r="O470" i="3" s="1"/>
  <c r="M467" i="3"/>
  <c r="O467" i="3" s="1"/>
  <c r="M464" i="3"/>
  <c r="O464" i="3" s="1"/>
  <c r="M437" i="3"/>
  <c r="O437" i="3" s="1"/>
  <c r="M433" i="3"/>
  <c r="O433" i="3" s="1"/>
  <c r="M429" i="3"/>
  <c r="O429" i="3" s="1"/>
  <c r="M425" i="3"/>
  <c r="O425" i="3" s="1"/>
  <c r="M504" i="3"/>
  <c r="O504" i="3" s="1"/>
  <c r="M486" i="3"/>
  <c r="O486" i="3" s="1"/>
  <c r="M478" i="3"/>
  <c r="O478" i="3" s="1"/>
  <c r="M440" i="3"/>
  <c r="O440" i="3" s="1"/>
  <c r="M424" i="3"/>
  <c r="O424" i="3" s="1"/>
  <c r="M416" i="3"/>
  <c r="O416" i="3" s="1"/>
  <c r="M401" i="3"/>
  <c r="O401" i="3" s="1"/>
  <c r="M399" i="3"/>
  <c r="O399" i="3" s="1"/>
  <c r="M394" i="3"/>
  <c r="O394" i="3" s="1"/>
  <c r="M381" i="3"/>
  <c r="O381" i="3" s="1"/>
  <c r="M378" i="3"/>
  <c r="O378" i="3" s="1"/>
  <c r="M365" i="3"/>
  <c r="O365" i="3" s="1"/>
  <c r="M362" i="3"/>
  <c r="O362" i="3" s="1"/>
  <c r="M527" i="3"/>
  <c r="O527" i="3" s="1"/>
  <c r="M522" i="3"/>
  <c r="O522" i="3" s="1"/>
  <c r="M483" i="3"/>
  <c r="O483" i="3" s="1"/>
  <c r="M463" i="3"/>
  <c r="O463" i="3" s="1"/>
  <c r="M458" i="3"/>
  <c r="O458" i="3" s="1"/>
  <c r="M435" i="3"/>
  <c r="O435" i="3" s="1"/>
  <c r="M412" i="3"/>
  <c r="O412" i="3" s="1"/>
  <c r="M397" i="3"/>
  <c r="O397" i="3" s="1"/>
  <c r="M391" i="3"/>
  <c r="O391" i="3" s="1"/>
  <c r="M388" i="3"/>
  <c r="O388" i="3" s="1"/>
  <c r="M375" i="3"/>
  <c r="O375" i="3" s="1"/>
  <c r="M372" i="3"/>
  <c r="O372" i="3" s="1"/>
  <c r="M359" i="3"/>
  <c r="O359" i="3" s="1"/>
  <c r="M356" i="3"/>
  <c r="O356" i="3" s="1"/>
  <c r="M352" i="3"/>
  <c r="O352" i="3" s="1"/>
  <c r="M348" i="3"/>
  <c r="O348" i="3" s="1"/>
  <c r="M344" i="3"/>
  <c r="O344" i="3" s="1"/>
  <c r="M340" i="3"/>
  <c r="O340" i="3" s="1"/>
  <c r="M336" i="3"/>
  <c r="O336" i="3" s="1"/>
  <c r="M332" i="3"/>
  <c r="O332" i="3" s="1"/>
  <c r="M328" i="3"/>
  <c r="O328" i="3" s="1"/>
  <c r="M324" i="3"/>
  <c r="O324" i="3" s="1"/>
  <c r="M320" i="3"/>
  <c r="O320" i="3" s="1"/>
  <c r="M316" i="3"/>
  <c r="O316" i="3" s="1"/>
  <c r="M519" i="3"/>
  <c r="O519" i="3" s="1"/>
  <c r="M480" i="3"/>
  <c r="O480" i="3" s="1"/>
  <c r="M475" i="3"/>
  <c r="O475" i="3" s="1"/>
  <c r="M455" i="3"/>
  <c r="O455" i="3" s="1"/>
  <c r="M428" i="3"/>
  <c r="O428" i="3" s="1"/>
  <c r="M408" i="3"/>
  <c r="O408" i="3" s="1"/>
  <c r="M385" i="3"/>
  <c r="O385" i="3" s="1"/>
  <c r="M382" i="3"/>
  <c r="O382" i="3" s="1"/>
  <c r="M369" i="3"/>
  <c r="O369" i="3" s="1"/>
  <c r="M366" i="3"/>
  <c r="O366" i="3" s="1"/>
  <c r="M524" i="3"/>
  <c r="O524" i="3" s="1"/>
  <c r="M510" i="3"/>
  <c r="O510" i="3" s="1"/>
  <c r="M507" i="3"/>
  <c r="O507" i="3" s="1"/>
  <c r="M487" i="3"/>
  <c r="O487" i="3" s="1"/>
  <c r="M472" i="3"/>
  <c r="O472" i="3" s="1"/>
  <c r="M466" i="3"/>
  <c r="O466" i="3" s="1"/>
  <c r="M451" i="3"/>
  <c r="O451" i="3" s="1"/>
  <c r="M448" i="3"/>
  <c r="O448" i="3" s="1"/>
  <c r="M423" i="3"/>
  <c r="O423" i="3" s="1"/>
  <c r="M415" i="3"/>
  <c r="O415" i="3" s="1"/>
  <c r="M407" i="3"/>
  <c r="O407" i="3" s="1"/>
  <c r="M392" i="3"/>
  <c r="O392" i="3" s="1"/>
  <c r="M390" i="3"/>
  <c r="O390" i="3" s="1"/>
  <c r="M357" i="3"/>
  <c r="O357" i="3" s="1"/>
  <c r="M355" i="3"/>
  <c r="O355" i="3" s="1"/>
  <c r="M353" i="3"/>
  <c r="O353" i="3" s="1"/>
  <c r="M338" i="3"/>
  <c r="O338" i="3" s="1"/>
  <c r="M322" i="3"/>
  <c r="O322" i="3" s="1"/>
  <c r="M317" i="3"/>
  <c r="O317" i="3" s="1"/>
  <c r="M311" i="3"/>
  <c r="O311" i="3" s="1"/>
  <c r="M308" i="3"/>
  <c r="O308" i="3" s="1"/>
  <c r="M295" i="3"/>
  <c r="O295" i="3" s="1"/>
  <c r="M292" i="3"/>
  <c r="O292" i="3" s="1"/>
  <c r="M516" i="3"/>
  <c r="O516" i="3" s="1"/>
  <c r="M490" i="3"/>
  <c r="O490" i="3" s="1"/>
  <c r="M454" i="3"/>
  <c r="O454" i="3" s="1"/>
  <c r="M432" i="3"/>
  <c r="O432" i="3" s="1"/>
  <c r="M404" i="3"/>
  <c r="O404" i="3" s="1"/>
  <c r="M367" i="3"/>
  <c r="O367" i="3" s="1"/>
  <c r="M363" i="3"/>
  <c r="O363" i="3" s="1"/>
  <c r="M361" i="3"/>
  <c r="O361" i="3" s="1"/>
  <c r="M351" i="3"/>
  <c r="O351" i="3" s="1"/>
  <c r="M349" i="3"/>
  <c r="O349" i="3" s="1"/>
  <c r="M334" i="3"/>
  <c r="O334" i="3" s="1"/>
  <c r="M327" i="3"/>
  <c r="O327" i="3" s="1"/>
  <c r="M305" i="3"/>
  <c r="O305" i="3" s="1"/>
  <c r="M302" i="3"/>
  <c r="O302" i="3" s="1"/>
  <c r="M289" i="3"/>
  <c r="O289" i="3" s="1"/>
  <c r="M285" i="3"/>
  <c r="O285" i="3" s="1"/>
  <c r="M281" i="3"/>
  <c r="O281" i="3" s="1"/>
  <c r="M277" i="3"/>
  <c r="O277" i="3" s="1"/>
  <c r="M273" i="3"/>
  <c r="O273" i="3" s="1"/>
  <c r="M269" i="3"/>
  <c r="O269" i="3" s="1"/>
  <c r="M265" i="3"/>
  <c r="O265" i="3" s="1"/>
  <c r="M420" i="3"/>
  <c r="O420" i="3" s="1"/>
  <c r="M396" i="3"/>
  <c r="O396" i="3" s="1"/>
  <c r="M373" i="3"/>
  <c r="O373" i="3" s="1"/>
  <c r="M371" i="3"/>
  <c r="O371" i="3" s="1"/>
  <c r="M347" i="3"/>
  <c r="O347" i="3" s="1"/>
  <c r="M345" i="3"/>
  <c r="O345" i="3" s="1"/>
  <c r="M330" i="3"/>
  <c r="O330" i="3" s="1"/>
  <c r="M325" i="3"/>
  <c r="O325" i="3" s="1"/>
  <c r="M315" i="3"/>
  <c r="O315" i="3" s="1"/>
  <c r="M312" i="3"/>
  <c r="O312" i="3" s="1"/>
  <c r="M299" i="3"/>
  <c r="O299" i="3" s="1"/>
  <c r="M296" i="3"/>
  <c r="O296" i="3" s="1"/>
  <c r="M436" i="3"/>
  <c r="O436" i="3" s="1"/>
  <c r="M413" i="3"/>
  <c r="O413" i="3" s="1"/>
  <c r="M405" i="3"/>
  <c r="O405" i="3" s="1"/>
  <c r="M386" i="3"/>
  <c r="O386" i="3" s="1"/>
  <c r="M384" i="3"/>
  <c r="O384" i="3" s="1"/>
  <c r="M380" i="3"/>
  <c r="O380" i="3" s="1"/>
  <c r="M342" i="3"/>
  <c r="O342" i="3" s="1"/>
  <c r="M329" i="3"/>
  <c r="O329" i="3" s="1"/>
  <c r="M319" i="3"/>
  <c r="O319" i="3" s="1"/>
  <c r="M314" i="3"/>
  <c r="O314" i="3" s="1"/>
  <c r="M301" i="3"/>
  <c r="O301" i="3" s="1"/>
  <c r="M298" i="3"/>
  <c r="O298" i="3" s="1"/>
  <c r="M288" i="3"/>
  <c r="O288" i="3" s="1"/>
  <c r="M284" i="3"/>
  <c r="O284" i="3" s="1"/>
  <c r="M280" i="3"/>
  <c r="O280" i="3" s="1"/>
  <c r="M276" i="3"/>
  <c r="O276" i="3" s="1"/>
  <c r="M272" i="3"/>
  <c r="O272" i="3" s="1"/>
  <c r="M268" i="3"/>
  <c r="O268" i="3" s="1"/>
  <c r="M512" i="3"/>
  <c r="O512" i="3" s="1"/>
  <c r="M460" i="3"/>
  <c r="O460" i="3" s="1"/>
  <c r="M446" i="3"/>
  <c r="O446" i="3" s="1"/>
  <c r="M387" i="3"/>
  <c r="O387" i="3" s="1"/>
  <c r="M377" i="3"/>
  <c r="O377" i="3" s="1"/>
  <c r="M374" i="3"/>
  <c r="O374" i="3" s="1"/>
  <c r="M333" i="3"/>
  <c r="O333" i="3" s="1"/>
  <c r="M306" i="3"/>
  <c r="O306" i="3" s="1"/>
  <c r="M294" i="3"/>
  <c r="O294" i="3" s="1"/>
  <c r="M282" i="3"/>
  <c r="O282" i="3" s="1"/>
  <c r="M271" i="3"/>
  <c r="O271" i="3" s="1"/>
  <c r="M267" i="3"/>
  <c r="O267" i="3" s="1"/>
  <c r="M252" i="3"/>
  <c r="O252" i="3" s="1"/>
  <c r="M249" i="3"/>
  <c r="O249" i="3" s="1"/>
  <c r="M236" i="3"/>
  <c r="O236" i="3" s="1"/>
  <c r="M233" i="3"/>
  <c r="O233" i="3" s="1"/>
  <c r="M220" i="3"/>
  <c r="O220" i="3" s="1"/>
  <c r="M217" i="3"/>
  <c r="O217" i="3" s="1"/>
  <c r="M204" i="3"/>
  <c r="O204" i="3" s="1"/>
  <c r="M200" i="3"/>
  <c r="O200" i="3" s="1"/>
  <c r="M196" i="3"/>
  <c r="O196" i="3" s="1"/>
  <c r="M192" i="3"/>
  <c r="O192" i="3" s="1"/>
  <c r="M188" i="3"/>
  <c r="O188" i="3" s="1"/>
  <c r="M184" i="3"/>
  <c r="O184" i="3" s="1"/>
  <c r="M180" i="3"/>
  <c r="O180" i="3" s="1"/>
  <c r="M176" i="3"/>
  <c r="O176" i="3" s="1"/>
  <c r="M172" i="3"/>
  <c r="O172" i="3" s="1"/>
  <c r="M168" i="3"/>
  <c r="O168" i="3" s="1"/>
  <c r="M164" i="3"/>
  <c r="O164" i="3" s="1"/>
  <c r="M160" i="3"/>
  <c r="O160" i="3" s="1"/>
  <c r="M156" i="3"/>
  <c r="O156" i="3" s="1"/>
  <c r="M152" i="3"/>
  <c r="O152" i="3" s="1"/>
  <c r="M148" i="3"/>
  <c r="O148" i="3" s="1"/>
  <c r="M144" i="3"/>
  <c r="O144" i="3" s="1"/>
  <c r="M140" i="3"/>
  <c r="O140" i="3" s="1"/>
  <c r="M136" i="3"/>
  <c r="O136" i="3" s="1"/>
  <c r="M132" i="3"/>
  <c r="O132" i="3" s="1"/>
  <c r="M128" i="3"/>
  <c r="O128" i="3" s="1"/>
  <c r="M124" i="3"/>
  <c r="O124" i="3" s="1"/>
  <c r="M120" i="3"/>
  <c r="O120" i="3" s="1"/>
  <c r="M116" i="3"/>
  <c r="O116" i="3" s="1"/>
  <c r="M112" i="3"/>
  <c r="O112" i="3" s="1"/>
  <c r="M108" i="3"/>
  <c r="O108" i="3" s="1"/>
  <c r="M104" i="3"/>
  <c r="O104" i="3" s="1"/>
  <c r="M100" i="3"/>
  <c r="O100" i="3" s="1"/>
  <c r="M96" i="3"/>
  <c r="O96" i="3" s="1"/>
  <c r="M92" i="3"/>
  <c r="O92" i="3" s="1"/>
  <c r="M88" i="3"/>
  <c r="O88" i="3" s="1"/>
  <c r="M84" i="3"/>
  <c r="O84" i="3" s="1"/>
  <c r="M484" i="3"/>
  <c r="O484" i="3" s="1"/>
  <c r="M383" i="3"/>
  <c r="O383" i="3" s="1"/>
  <c r="M370" i="3"/>
  <c r="O370" i="3" s="1"/>
  <c r="M364" i="3"/>
  <c r="O364" i="3" s="1"/>
  <c r="M360" i="3"/>
  <c r="O360" i="3" s="1"/>
  <c r="M354" i="3"/>
  <c r="O354" i="3" s="1"/>
  <c r="M339" i="3"/>
  <c r="O339" i="3" s="1"/>
  <c r="M275" i="3"/>
  <c r="O275" i="3" s="1"/>
  <c r="M262" i="3"/>
  <c r="O262" i="3" s="1"/>
  <c r="M259" i="3"/>
  <c r="O259" i="3" s="1"/>
  <c r="M246" i="3"/>
  <c r="O246" i="3" s="1"/>
  <c r="M243" i="3"/>
  <c r="O243" i="3" s="1"/>
  <c r="M230" i="3"/>
  <c r="O230" i="3" s="1"/>
  <c r="M227" i="3"/>
  <c r="O227" i="3" s="1"/>
  <c r="M214" i="3"/>
  <c r="O214" i="3" s="1"/>
  <c r="M211" i="3"/>
  <c r="O211" i="3" s="1"/>
  <c r="M515" i="3"/>
  <c r="O515" i="3" s="1"/>
  <c r="M419" i="3"/>
  <c r="O419" i="3" s="1"/>
  <c r="M411" i="3"/>
  <c r="O411" i="3" s="1"/>
  <c r="M400" i="3"/>
  <c r="O400" i="3" s="1"/>
  <c r="M393" i="3"/>
  <c r="O393" i="3" s="1"/>
  <c r="M321" i="3"/>
  <c r="O321" i="3" s="1"/>
  <c r="M318" i="3"/>
  <c r="O318" i="3" s="1"/>
  <c r="M313" i="3"/>
  <c r="O313" i="3" s="1"/>
  <c r="M303" i="3"/>
  <c r="O303" i="3" s="1"/>
  <c r="M291" i="3"/>
  <c r="O291" i="3" s="1"/>
  <c r="M286" i="3"/>
  <c r="O286" i="3" s="1"/>
  <c r="M256" i="3"/>
  <c r="O256" i="3" s="1"/>
  <c r="M253" i="3"/>
  <c r="O253" i="3" s="1"/>
  <c r="M240" i="3"/>
  <c r="O240" i="3" s="1"/>
  <c r="M237" i="3"/>
  <c r="O237" i="3" s="1"/>
  <c r="M224" i="3"/>
  <c r="O224" i="3" s="1"/>
  <c r="M221" i="3"/>
  <c r="O221" i="3" s="1"/>
  <c r="M208" i="3"/>
  <c r="O208" i="3" s="1"/>
  <c r="M205" i="3"/>
  <c r="O205" i="3" s="1"/>
  <c r="M201" i="3"/>
  <c r="O201" i="3" s="1"/>
  <c r="M197" i="3"/>
  <c r="O197" i="3" s="1"/>
  <c r="M193" i="3"/>
  <c r="O193" i="3" s="1"/>
  <c r="M189" i="3"/>
  <c r="O189" i="3" s="1"/>
  <c r="M185" i="3"/>
  <c r="O185" i="3" s="1"/>
  <c r="M443" i="3"/>
  <c r="O443" i="3" s="1"/>
  <c r="M439" i="3"/>
  <c r="O439" i="3" s="1"/>
  <c r="M421" i="3"/>
  <c r="O421" i="3" s="1"/>
  <c r="M417" i="3"/>
  <c r="O417" i="3" s="1"/>
  <c r="M409" i="3"/>
  <c r="O409" i="3" s="1"/>
  <c r="M368" i="3"/>
  <c r="O368" i="3" s="1"/>
  <c r="M358" i="3"/>
  <c r="O358" i="3" s="1"/>
  <c r="M346" i="3"/>
  <c r="O346" i="3" s="1"/>
  <c r="M309" i="3"/>
  <c r="O309" i="3" s="1"/>
  <c r="M304" i="3"/>
  <c r="O304" i="3" s="1"/>
  <c r="M287" i="3"/>
  <c r="O287" i="3" s="1"/>
  <c r="M258" i="3"/>
  <c r="O258" i="3" s="1"/>
  <c r="M255" i="3"/>
  <c r="O255" i="3" s="1"/>
  <c r="M242" i="3"/>
  <c r="O242" i="3" s="1"/>
  <c r="M239" i="3"/>
  <c r="O239" i="3" s="1"/>
  <c r="M226" i="3"/>
  <c r="O226" i="3" s="1"/>
  <c r="M223" i="3"/>
  <c r="O223" i="3" s="1"/>
  <c r="M210" i="3"/>
  <c r="O210" i="3" s="1"/>
  <c r="M207" i="3"/>
  <c r="O207" i="3" s="1"/>
  <c r="M257" i="3"/>
  <c r="O257" i="3" s="1"/>
  <c r="M250" i="3"/>
  <c r="O250" i="3" s="1"/>
  <c r="M245" i="3"/>
  <c r="O245" i="3" s="1"/>
  <c r="M225" i="3"/>
  <c r="O225" i="3" s="1"/>
  <c r="M218" i="3"/>
  <c r="O218" i="3" s="1"/>
  <c r="M213" i="3"/>
  <c r="O213" i="3" s="1"/>
  <c r="M161" i="3"/>
  <c r="O161" i="3" s="1"/>
  <c r="M158" i="3"/>
  <c r="O158" i="3" s="1"/>
  <c r="M155" i="3"/>
  <c r="O155" i="3" s="1"/>
  <c r="M129" i="3"/>
  <c r="O129" i="3" s="1"/>
  <c r="M126" i="3"/>
  <c r="O126" i="3" s="1"/>
  <c r="M123" i="3"/>
  <c r="O123" i="3" s="1"/>
  <c r="M97" i="3"/>
  <c r="O97" i="3" s="1"/>
  <c r="M94" i="3"/>
  <c r="O94" i="3" s="1"/>
  <c r="M91" i="3"/>
  <c r="O91" i="3" s="1"/>
  <c r="M82" i="3"/>
  <c r="O82" i="3" s="1"/>
  <c r="M78" i="3"/>
  <c r="O78" i="3" s="1"/>
  <c r="M74" i="3"/>
  <c r="O74" i="3" s="1"/>
  <c r="M70" i="3"/>
  <c r="O70" i="3" s="1"/>
  <c r="M66" i="3"/>
  <c r="O66" i="3" s="1"/>
  <c r="M62" i="3"/>
  <c r="O62" i="3" s="1"/>
  <c r="M58" i="3"/>
  <c r="O58" i="3" s="1"/>
  <c r="M54" i="3"/>
  <c r="O54" i="3" s="1"/>
  <c r="M50" i="3"/>
  <c r="O50" i="3" s="1"/>
  <c r="M46" i="3"/>
  <c r="O46" i="3" s="1"/>
  <c r="M42" i="3"/>
  <c r="O42" i="3" s="1"/>
  <c r="M38" i="3"/>
  <c r="O38" i="3" s="1"/>
  <c r="M34" i="3"/>
  <c r="O34" i="3" s="1"/>
  <c r="M30" i="3"/>
  <c r="O30" i="3" s="1"/>
  <c r="M395" i="3"/>
  <c r="O395" i="3" s="1"/>
  <c r="M376" i="3"/>
  <c r="O376" i="3" s="1"/>
  <c r="M343" i="3"/>
  <c r="O343" i="3" s="1"/>
  <c r="M335" i="3"/>
  <c r="O335" i="3" s="1"/>
  <c r="M331" i="3"/>
  <c r="O331" i="3" s="1"/>
  <c r="M323" i="3"/>
  <c r="O323" i="3" s="1"/>
  <c r="M307" i="3"/>
  <c r="O307" i="3" s="1"/>
  <c r="M270" i="3"/>
  <c r="O270" i="3" s="1"/>
  <c r="M247" i="3"/>
  <c r="O247" i="3" s="1"/>
  <c r="M235" i="3"/>
  <c r="O235" i="3" s="1"/>
  <c r="M215" i="3"/>
  <c r="O215" i="3" s="1"/>
  <c r="M203" i="3"/>
  <c r="O203" i="3" s="1"/>
  <c r="M194" i="3"/>
  <c r="O194" i="3" s="1"/>
  <c r="M190" i="3"/>
  <c r="O190" i="3" s="1"/>
  <c r="M186" i="3"/>
  <c r="O186" i="3" s="1"/>
  <c r="M173" i="3"/>
  <c r="O173" i="3" s="1"/>
  <c r="M170" i="3"/>
  <c r="O170" i="3" s="1"/>
  <c r="M167" i="3"/>
  <c r="O167" i="3" s="1"/>
  <c r="M141" i="3"/>
  <c r="O141" i="3" s="1"/>
  <c r="M138" i="3"/>
  <c r="O138" i="3" s="1"/>
  <c r="M135" i="3"/>
  <c r="O135" i="3" s="1"/>
  <c r="M109" i="3"/>
  <c r="O109" i="3" s="1"/>
  <c r="M106" i="3"/>
  <c r="O106" i="3" s="1"/>
  <c r="M103" i="3"/>
  <c r="O103" i="3" s="1"/>
  <c r="M498" i="3"/>
  <c r="O498" i="3" s="1"/>
  <c r="M452" i="3"/>
  <c r="O452" i="3" s="1"/>
  <c r="M310" i="3"/>
  <c r="O310" i="3" s="1"/>
  <c r="M290" i="3"/>
  <c r="O290" i="3" s="1"/>
  <c r="M198" i="3"/>
  <c r="O198" i="3" s="1"/>
  <c r="M182" i="3"/>
  <c r="O182" i="3" s="1"/>
  <c r="M179" i="3"/>
  <c r="O179" i="3" s="1"/>
  <c r="M153" i="3"/>
  <c r="O153" i="3" s="1"/>
  <c r="M150" i="3"/>
  <c r="O150" i="3" s="1"/>
  <c r="M147" i="3"/>
  <c r="O147" i="3" s="1"/>
  <c r="M121" i="3"/>
  <c r="O121" i="3" s="1"/>
  <c r="M118" i="3"/>
  <c r="O118" i="3" s="1"/>
  <c r="M115" i="3"/>
  <c r="O115" i="3" s="1"/>
  <c r="M89" i="3"/>
  <c r="O89" i="3" s="1"/>
  <c r="M86" i="3"/>
  <c r="O86" i="3" s="1"/>
  <c r="M83" i="3"/>
  <c r="O83" i="3" s="1"/>
  <c r="M79" i="3"/>
  <c r="O79" i="3" s="1"/>
  <c r="M75" i="3"/>
  <c r="O75" i="3" s="1"/>
  <c r="M71" i="3"/>
  <c r="O71" i="3" s="1"/>
  <c r="M67" i="3"/>
  <c r="O67" i="3" s="1"/>
  <c r="M63" i="3"/>
  <c r="O63" i="3" s="1"/>
  <c r="M59" i="3"/>
  <c r="O59" i="3" s="1"/>
  <c r="M55" i="3"/>
  <c r="O55" i="3" s="1"/>
  <c r="M51" i="3"/>
  <c r="O51" i="3" s="1"/>
  <c r="M47" i="3"/>
  <c r="O47" i="3" s="1"/>
  <c r="M43" i="3"/>
  <c r="O43" i="3" s="1"/>
  <c r="M39" i="3"/>
  <c r="O39" i="3" s="1"/>
  <c r="M35" i="3"/>
  <c r="O35" i="3" s="1"/>
  <c r="M31" i="3"/>
  <c r="O31" i="3" s="1"/>
  <c r="M495" i="3"/>
  <c r="O495" i="3" s="1"/>
  <c r="M431" i="3"/>
  <c r="O431" i="3" s="1"/>
  <c r="M278" i="3"/>
  <c r="O278" i="3" s="1"/>
  <c r="M260" i="3"/>
  <c r="O260" i="3" s="1"/>
  <c r="M248" i="3"/>
  <c r="O248" i="3" s="1"/>
  <c r="M238" i="3"/>
  <c r="O238" i="3" s="1"/>
  <c r="M228" i="3"/>
  <c r="O228" i="3" s="1"/>
  <c r="M216" i="3"/>
  <c r="O216" i="3" s="1"/>
  <c r="M206" i="3"/>
  <c r="O206" i="3" s="1"/>
  <c r="M199" i="3"/>
  <c r="O199" i="3" s="1"/>
  <c r="M181" i="3"/>
  <c r="O181" i="3" s="1"/>
  <c r="M178" i="3"/>
  <c r="O178" i="3" s="1"/>
  <c r="M175" i="3"/>
  <c r="O175" i="3" s="1"/>
  <c r="M149" i="3"/>
  <c r="O149" i="3" s="1"/>
  <c r="M146" i="3"/>
  <c r="O146" i="3" s="1"/>
  <c r="M143" i="3"/>
  <c r="O143" i="3" s="1"/>
  <c r="M117" i="3"/>
  <c r="O117" i="3" s="1"/>
  <c r="M114" i="3"/>
  <c r="O114" i="3" s="1"/>
  <c r="M111" i="3"/>
  <c r="O111" i="3" s="1"/>
  <c r="M85" i="3"/>
  <c r="O85" i="3" s="1"/>
  <c r="M427" i="3"/>
  <c r="O427" i="3" s="1"/>
  <c r="M244" i="3"/>
  <c r="O244" i="3" s="1"/>
  <c r="M191" i="3"/>
  <c r="O191" i="3" s="1"/>
  <c r="M177" i="3"/>
  <c r="O177" i="3" s="1"/>
  <c r="M139" i="3"/>
  <c r="O139" i="3" s="1"/>
  <c r="M131" i="3"/>
  <c r="O131" i="3" s="1"/>
  <c r="M113" i="3"/>
  <c r="O113" i="3" s="1"/>
  <c r="M80" i="3"/>
  <c r="O80" i="3" s="1"/>
  <c r="M64" i="3"/>
  <c r="O64" i="3" s="1"/>
  <c r="M48" i="3"/>
  <c r="O48" i="3" s="1"/>
  <c r="M32" i="3"/>
  <c r="O32" i="3" s="1"/>
  <c r="M263" i="3"/>
  <c r="O263" i="3" s="1"/>
  <c r="M151" i="3"/>
  <c r="O151" i="3" s="1"/>
  <c r="M133" i="3"/>
  <c r="O133" i="3" s="1"/>
  <c r="M125" i="3"/>
  <c r="O125" i="3" s="1"/>
  <c r="M87" i="3"/>
  <c r="O87" i="3" s="1"/>
  <c r="M73" i="3"/>
  <c r="O73" i="3" s="1"/>
  <c r="M57" i="3"/>
  <c r="O57" i="3" s="1"/>
  <c r="M41" i="3"/>
  <c r="O41" i="3" s="1"/>
  <c r="M337" i="3"/>
  <c r="O337" i="3" s="1"/>
  <c r="M326" i="3"/>
  <c r="O326" i="3" s="1"/>
  <c r="M266" i="3"/>
  <c r="O266" i="3" s="1"/>
  <c r="M229" i="3"/>
  <c r="O229" i="3" s="1"/>
  <c r="M174" i="3"/>
  <c r="O174" i="3" s="1"/>
  <c r="M169" i="3"/>
  <c r="O169" i="3" s="1"/>
  <c r="M130" i="3"/>
  <c r="O130" i="3" s="1"/>
  <c r="M110" i="3"/>
  <c r="O110" i="3" s="1"/>
  <c r="M105" i="3"/>
  <c r="O105" i="3" s="1"/>
  <c r="M68" i="3"/>
  <c r="O68" i="3" s="1"/>
  <c r="M52" i="3"/>
  <c r="O52" i="3" s="1"/>
  <c r="M36" i="3"/>
  <c r="O36" i="3" s="1"/>
  <c r="M518" i="3"/>
  <c r="O518" i="3" s="1"/>
  <c r="M341" i="3"/>
  <c r="O341" i="3" s="1"/>
  <c r="M293" i="3"/>
  <c r="O293" i="3" s="1"/>
  <c r="M279" i="3"/>
  <c r="O279" i="3" s="1"/>
  <c r="M274" i="3"/>
  <c r="O274" i="3" s="1"/>
  <c r="M254" i="3"/>
  <c r="O254" i="3" s="1"/>
  <c r="M251" i="3"/>
  <c r="O251" i="3" s="1"/>
  <c r="M492" i="3"/>
  <c r="O492" i="3" s="1"/>
  <c r="M403" i="3"/>
  <c r="O403" i="3" s="1"/>
  <c r="M379" i="3"/>
  <c r="O379" i="3" s="1"/>
  <c r="M283" i="3"/>
  <c r="O283" i="3" s="1"/>
  <c r="M350" i="3"/>
  <c r="O350" i="3" s="1"/>
  <c r="M297" i="3"/>
  <c r="O297" i="3" s="1"/>
  <c r="M261" i="3"/>
  <c r="O261" i="3" s="1"/>
  <c r="M389" i="3"/>
  <c r="O389" i="3" s="1"/>
  <c r="M300" i="3"/>
  <c r="O300" i="3" s="1"/>
  <c r="M264" i="3"/>
  <c r="O264" i="3" s="1"/>
  <c r="M241" i="3"/>
  <c r="O241" i="3" s="1"/>
  <c r="M222" i="3"/>
  <c r="O222" i="3" s="1"/>
  <c r="M219" i="3"/>
  <c r="O219" i="3" s="1"/>
  <c r="M159" i="3"/>
  <c r="O159" i="3" s="1"/>
  <c r="M154" i="3"/>
  <c r="O154" i="3" s="1"/>
  <c r="M134" i="3"/>
  <c r="O134" i="3" s="1"/>
  <c r="M95" i="3"/>
  <c r="O95" i="3" s="1"/>
  <c r="M90" i="3"/>
  <c r="O90" i="3" s="1"/>
  <c r="M69" i="3"/>
  <c r="O69" i="3" s="1"/>
  <c r="M53" i="3"/>
  <c r="O53" i="3" s="1"/>
  <c r="M37" i="3"/>
  <c r="O37" i="3" s="1"/>
  <c r="M209" i="3"/>
  <c r="O209" i="3" s="1"/>
  <c r="M157" i="3"/>
  <c r="O157" i="3" s="1"/>
  <c r="M99" i="3"/>
  <c r="O99" i="3" s="1"/>
  <c r="M76" i="3"/>
  <c r="O76" i="3" s="1"/>
  <c r="M72" i="3"/>
  <c r="O72" i="3" s="1"/>
  <c r="M44" i="3"/>
  <c r="O44" i="3" s="1"/>
  <c r="M40" i="3"/>
  <c r="O40" i="3" s="1"/>
  <c r="M137" i="3"/>
  <c r="O137" i="3" s="1"/>
  <c r="M145" i="3"/>
  <c r="O145" i="3" s="1"/>
  <c r="M142" i="3"/>
  <c r="O142" i="3" s="1"/>
  <c r="M102" i="3"/>
  <c r="O102" i="3" s="1"/>
  <c r="M61" i="3"/>
  <c r="O61" i="3" s="1"/>
  <c r="M29" i="3"/>
  <c r="O29" i="3" s="1"/>
  <c r="M234" i="3"/>
  <c r="O234" i="3" s="1"/>
  <c r="M187" i="3"/>
  <c r="O187" i="3" s="1"/>
  <c r="M98" i="3"/>
  <c r="O98" i="3" s="1"/>
  <c r="M65" i="3"/>
  <c r="O65" i="3" s="1"/>
  <c r="M33" i="3"/>
  <c r="O33" i="3" s="1"/>
  <c r="M212" i="3"/>
  <c r="O212" i="3" s="1"/>
  <c r="M195" i="3"/>
  <c r="O195" i="3" s="1"/>
  <c r="M183" i="3"/>
  <c r="O183" i="3" s="1"/>
  <c r="M171" i="3"/>
  <c r="O171" i="3" s="1"/>
  <c r="M101" i="3"/>
  <c r="O101" i="3" s="1"/>
  <c r="M202" i="3"/>
  <c r="O202" i="3" s="1"/>
  <c r="M163" i="3"/>
  <c r="O163" i="3" s="1"/>
  <c r="M127" i="3"/>
  <c r="O127" i="3" s="1"/>
  <c r="M93" i="3"/>
  <c r="O93" i="3" s="1"/>
  <c r="M60" i="3"/>
  <c r="O60" i="3" s="1"/>
  <c r="M56" i="3"/>
  <c r="O56" i="3" s="1"/>
  <c r="M232" i="3"/>
  <c r="O232" i="3" s="1"/>
  <c r="M166" i="3"/>
  <c r="O166" i="3" s="1"/>
  <c r="M77" i="3"/>
  <c r="O77" i="3" s="1"/>
  <c r="M45" i="3"/>
  <c r="O45" i="3" s="1"/>
  <c r="M162" i="3"/>
  <c r="O162" i="3" s="1"/>
  <c r="M122" i="3"/>
  <c r="O122" i="3" s="1"/>
  <c r="M119" i="3"/>
  <c r="O119" i="3" s="1"/>
  <c r="M81" i="3"/>
  <c r="O81" i="3" s="1"/>
  <c r="M49" i="3"/>
  <c r="O49" i="3" s="1"/>
  <c r="M231" i="3"/>
  <c r="O231" i="3" s="1"/>
  <c r="M165" i="3"/>
  <c r="O165" i="3" s="1"/>
  <c r="M107" i="3"/>
  <c r="O107" i="3" s="1"/>
  <c r="G5" i="7"/>
  <c r="M36" i="1"/>
  <c r="M38" i="1" s="1"/>
  <c r="K38" i="1"/>
  <c r="L5" i="7" s="1"/>
  <c r="S5" i="7"/>
  <c r="J32" i="1"/>
  <c r="T5" i="7" s="1"/>
  <c r="O27" i="3" l="1"/>
  <c r="O25" i="3" s="1"/>
  <c r="J17" i="3" s="1"/>
  <c r="J19" i="3" s="1"/>
  <c r="J21" i="3" s="1"/>
  <c r="L17" i="3"/>
  <c r="I13" i="3"/>
  <c r="K1" i="4" s="1" a="1"/>
  <c r="K1" i="4" s="1"/>
  <c r="I19" i="3"/>
  <c r="I21" i="3" l="1"/>
  <c r="L19" i="3"/>
  <c r="L21" i="3" s="1"/>
  <c r="S35" i="4"/>
  <c r="T35" i="4" s="1"/>
  <c r="U35" i="4" s="1"/>
  <c r="S43" i="4"/>
  <c r="T43" i="4" s="1"/>
  <c r="U43" i="4" s="1"/>
  <c r="S19" i="4"/>
  <c r="T19" i="4" s="1"/>
  <c r="U19" i="4" s="1"/>
  <c r="S27" i="4"/>
  <c r="T27" i="4" s="1"/>
  <c r="U27" i="4" s="1"/>
  <c r="S29" i="4"/>
  <c r="T29" i="4" s="1"/>
  <c r="U29" i="4" s="1"/>
  <c r="S21" i="4"/>
  <c r="T21" i="4" s="1"/>
  <c r="U21" i="4" s="1"/>
  <c r="S40" i="4"/>
  <c r="T40" i="4" s="1"/>
  <c r="U40" i="4" s="1"/>
  <c r="S46" i="4"/>
  <c r="T46" i="4" s="1"/>
  <c r="U46" i="4" s="1"/>
  <c r="S30" i="4"/>
  <c r="T30" i="4" s="1"/>
  <c r="U30" i="4" s="1"/>
  <c r="S37" i="4"/>
  <c r="T37" i="4" s="1"/>
  <c r="U37" i="4" s="1"/>
  <c r="S22" i="4"/>
  <c r="T22" i="4" s="1"/>
  <c r="U22" i="4" s="1"/>
  <c r="S23" i="4"/>
  <c r="T23" i="4" s="1"/>
  <c r="U23" i="4" s="1"/>
  <c r="S38" i="4"/>
  <c r="T38" i="4" s="1"/>
  <c r="U38" i="4" s="1"/>
  <c r="S15" i="4"/>
  <c r="T15" i="4" s="1"/>
  <c r="U15" i="4" s="1"/>
  <c r="S16" i="4"/>
  <c r="T16" i="4" s="1"/>
  <c r="U16" i="4" s="1"/>
  <c r="S45" i="4"/>
  <c r="T45" i="4" s="1"/>
  <c r="U45" i="4" s="1"/>
  <c r="S14" i="4"/>
  <c r="T14" i="4" s="1"/>
  <c r="U14" i="4" s="1"/>
  <c r="S24" i="4"/>
  <c r="T24" i="4" s="1"/>
  <c r="U24" i="4" s="1"/>
  <c r="S44" i="4"/>
  <c r="T44" i="4" s="1"/>
  <c r="U44" i="4" s="1"/>
  <c r="S31" i="4"/>
  <c r="T31" i="4" s="1"/>
  <c r="U31" i="4" s="1"/>
  <c r="S18" i="4"/>
  <c r="T18" i="4" s="1"/>
  <c r="U18" i="4" s="1"/>
  <c r="S28" i="4"/>
  <c r="T28" i="4" s="1"/>
  <c r="U28" i="4" s="1"/>
  <c r="S20" i="4"/>
  <c r="T20" i="4" s="1"/>
  <c r="U20" i="4" s="1"/>
  <c r="S41" i="4"/>
  <c r="T41" i="4" s="1"/>
  <c r="U41" i="4" s="1"/>
  <c r="S26" i="4"/>
  <c r="T26" i="4" s="1"/>
  <c r="U26" i="4" s="1"/>
  <c r="S34" i="4"/>
  <c r="T34" i="4" s="1"/>
  <c r="U34" i="4" s="1"/>
  <c r="S39" i="4"/>
  <c r="T39" i="4" s="1"/>
  <c r="U39" i="4" s="1"/>
  <c r="S32" i="4"/>
  <c r="T32" i="4" s="1"/>
  <c r="U32" i="4" s="1"/>
  <c r="S13" i="4"/>
  <c r="T13" i="4" s="1"/>
  <c r="U13" i="4" s="1"/>
  <c r="S17" i="4"/>
  <c r="T17" i="4" s="1"/>
  <c r="U17" i="4" s="1"/>
  <c r="S42" i="4"/>
  <c r="T42" i="4" s="1"/>
  <c r="U42" i="4" s="1"/>
  <c r="S25" i="4"/>
  <c r="T25" i="4" s="1"/>
  <c r="U25" i="4" s="1"/>
  <c r="S33" i="4"/>
  <c r="T33" i="4" s="1"/>
  <c r="U33" i="4" s="1"/>
  <c r="S36" i="4"/>
  <c r="T36" i="4" s="1"/>
  <c r="U36" i="4" s="1"/>
  <c r="S12" i="4"/>
  <c r="I14" i="3"/>
  <c r="S10" i="4" l="1"/>
  <c r="T12" i="4"/>
  <c r="N1" i="4"/>
  <c r="J19" i="1" s="1"/>
  <c r="K17" i="3"/>
  <c r="L19" i="1" l="1"/>
  <c r="K19" i="1"/>
  <c r="M17" i="3"/>
  <c r="K19" i="3"/>
  <c r="T10" i="4"/>
  <c r="J18" i="1" s="1" a="1"/>
  <c r="J18" i="1" s="1"/>
  <c r="U12" i="4"/>
  <c r="U10" i="4" s="1"/>
  <c r="K18" i="1" l="1"/>
  <c r="K22" i="1" s="1"/>
  <c r="K24" i="1" s="1"/>
  <c r="J22" i="1"/>
  <c r="L18" i="1"/>
  <c r="K21" i="3"/>
  <c r="M19" i="3"/>
  <c r="M21" i="3" s="1"/>
  <c r="L22" i="1" l="1"/>
  <c r="J24" i="1"/>
  <c r="L24" i="1" l="1"/>
  <c r="J25" i="1"/>
  <c r="K25" i="1" l="1"/>
  <c r="L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<sst xmlns="http://schemas.openxmlformats.org/spreadsheetml/2006/main" count="1509" uniqueCount="588">
  <si>
    <t>Job Name</t>
  </si>
  <si>
    <t>JOINT RESERVE BASE HANGAR</t>
  </si>
  <si>
    <t>Job No.</t>
  </si>
  <si>
    <t>643700</t>
  </si>
  <si>
    <t>Project Manager</t>
  </si>
  <si>
    <t>J RAMOS</t>
  </si>
  <si>
    <t>Report Date</t>
  </si>
  <si>
    <t>2026-01-07</t>
  </si>
  <si>
    <t>As of Date</t>
  </si>
  <si>
    <t xml:space="preserve"> Revised Contract </t>
  </si>
  <si>
    <t xml:space="preserve"> Notice to Proceed </t>
  </si>
  <si>
    <t xml:space="preserve"> Pending </t>
  </si>
  <si>
    <t xml:space="preserve"> Pending Contract </t>
  </si>
  <si>
    <t xml:space="preserve"> Projected </t>
  </si>
  <si>
    <t xml:space="preserve"> Variance </t>
  </si>
  <si>
    <t xml:space="preserve"> Prior Month Variance</t>
  </si>
  <si>
    <t>Revenue</t>
  </si>
  <si>
    <t>Labor</t>
  </si>
  <si>
    <t>Burden</t>
  </si>
  <si>
    <t>Material / Subcontracts</t>
  </si>
  <si>
    <t>DJE / Other</t>
  </si>
  <si>
    <t>Total Cost</t>
  </si>
  <si>
    <t>Profit</t>
  </si>
  <si>
    <t>Profit % on Cost</t>
  </si>
  <si>
    <t>Profit % on Rev</t>
  </si>
  <si>
    <t>FINANCIAL AND OPERATIONAL DASHBOARD FOR THIS REPORTING PERIOD</t>
  </si>
  <si>
    <t>Over/ (Under) Billings</t>
  </si>
  <si>
    <t>Project Cash to Cost Position</t>
  </si>
  <si>
    <t>JTD Gross Billings $</t>
  </si>
  <si>
    <t>None</t>
  </si>
  <si>
    <t>JTD Collected $</t>
  </si>
  <si>
    <t>JTD Revenue $</t>
  </si>
  <si>
    <t>JTD Cost $</t>
  </si>
  <si>
    <t>Over/ (Under) Billing $</t>
  </si>
  <si>
    <t>Net Cash Position $</t>
  </si>
  <si>
    <t>As of Date:</t>
  </si>
  <si>
    <t>2025-12-31</t>
  </si>
  <si>
    <t>Composite Rate Analysis</t>
  </si>
  <si>
    <t>Labor Performance Factor</t>
  </si>
  <si>
    <t>Prior Month</t>
  </si>
  <si>
    <t>Composite Rate (Est.)</t>
  </si>
  <si>
    <t>Earned MH's</t>
  </si>
  <si>
    <t>Composite Rate (Act.)</t>
  </si>
  <si>
    <t>Actual MH's</t>
  </si>
  <si>
    <t>Composite Rate Var</t>
  </si>
  <si>
    <t>A/R Aged Open Items</t>
  </si>
  <si>
    <t xml:space="preserve"> Estimated % Complete @ YE value </t>
  </si>
  <si>
    <t>Current</t>
  </si>
  <si>
    <t>1-30 Days</t>
  </si>
  <si>
    <t>Bid day Labor Performance Factor</t>
  </si>
  <si>
    <t>31-60 Days</t>
  </si>
  <si>
    <t>61-90 Days</t>
  </si>
  <si>
    <t>Over 90 Days</t>
  </si>
  <si>
    <t>Last Billing Date</t>
  </si>
  <si>
    <t>NaT</t>
  </si>
  <si>
    <t>NOTES REGARDING SCHEDULE, JOB PROGRESS, CONCERNS:</t>
  </si>
  <si>
    <t>Composite Rate</t>
  </si>
  <si>
    <t>Burden Cost</t>
  </si>
  <si>
    <t>Labor Cost</t>
  </si>
  <si>
    <t>Total Hours</t>
  </si>
  <si>
    <t>9240.130000000</t>
  </si>
  <si>
    <t>Projection Labor &amp; Burden</t>
  </si>
  <si>
    <t>Job Projection</t>
  </si>
  <si>
    <t>Projection Labor Rate</t>
  </si>
  <si>
    <t>Projection L&amp;B Rate</t>
  </si>
  <si>
    <t>Week Ending:</t>
  </si>
  <si>
    <t xml:space="preserve"> Total Hrs </t>
  </si>
  <si>
    <t xml:space="preserve"> Labor Cost </t>
  </si>
  <si>
    <t xml:space="preserve"> Burden Cost </t>
  </si>
  <si>
    <t xml:space="preserve"> Total Cost </t>
  </si>
  <si>
    <t xml:space="preserve"> Labor / Hr </t>
  </si>
  <si>
    <t xml:space="preserve"> L&amp;B / Hr </t>
  </si>
  <si>
    <t xml:space="preserve"> Job to Date </t>
  </si>
  <si>
    <t xml:space="preserve"> Projection to Complete </t>
  </si>
  <si>
    <t xml:space="preserve"> Total Projection </t>
  </si>
  <si>
    <t xml:space="preserve"> Bid + Change Orders </t>
  </si>
  <si>
    <t>Average Crew</t>
  </si>
  <si>
    <t xml:space="preserve"> Ave Hrs </t>
  </si>
  <si>
    <t xml:space="preserve"> Ave Days </t>
  </si>
  <si>
    <t xml:space="preserve"> Labor Projection </t>
  </si>
  <si>
    <t xml:space="preserve"> Delta </t>
  </si>
  <si>
    <t>Avg Composite Rate</t>
  </si>
  <si>
    <t>Avg L&amp;B Rate</t>
  </si>
  <si>
    <t>Manpower Projection</t>
  </si>
  <si>
    <t>Grand Total</t>
  </si>
  <si>
    <t>-</t>
  </si>
  <si>
    <t>Week ending:</t>
  </si>
  <si>
    <t>Actual Manpower</t>
  </si>
  <si>
    <t>Estimated Manpower</t>
  </si>
  <si>
    <t>Hours/Day</t>
  </si>
  <si>
    <t>Days/Week</t>
  </si>
  <si>
    <t>L&amp;B Rate</t>
  </si>
  <si>
    <t>Projected Composite Rate:</t>
  </si>
  <si>
    <t>Projected Burden Rate:</t>
  </si>
  <si>
    <t>Job to Date Labor</t>
  </si>
  <si>
    <t>Final</t>
  </si>
  <si>
    <t>Phase</t>
  </si>
  <si>
    <t>Cost Type</t>
  </si>
  <si>
    <t>Original Hours Estimate</t>
  </si>
  <si>
    <t>Change Order Hours Estimate</t>
  </si>
  <si>
    <t>Current Labor Hours Estimate</t>
  </si>
  <si>
    <t>JTD Hours</t>
  </si>
  <si>
    <t>Est. % Complete</t>
  </si>
  <si>
    <t>Base Hrs to Complete</t>
  </si>
  <si>
    <t>Productivity Factor</t>
  </si>
  <si>
    <t>Productivity Hours</t>
  </si>
  <si>
    <t>Projected Hrs to Complete</t>
  </si>
  <si>
    <t>Total Hrs</t>
  </si>
  <si>
    <t xml:space="preserve">(Under) / Over </t>
  </si>
  <si>
    <t xml:space="preserve"> Original Labor Dollar Est. </t>
  </si>
  <si>
    <t xml:space="preserve"> Change Order Labor Dollar Est. </t>
  </si>
  <si>
    <t xml:space="preserve"> Current Labor Dollar Estimate </t>
  </si>
  <si>
    <t xml:space="preserve"> JTD Labor Cost </t>
  </si>
  <si>
    <t xml:space="preserve"> Est Labor to Complete</t>
  </si>
  <si>
    <t xml:space="preserve"> Est. Total Labor </t>
  </si>
  <si>
    <t xml:space="preserve">(Under) / Over  </t>
  </si>
  <si>
    <t xml:space="preserve"> Est. $/Hour </t>
  </si>
  <si>
    <t xml:space="preserve"> JTD $/ Hr </t>
  </si>
  <si>
    <t xml:space="preserve">(Under) / Over   </t>
  </si>
  <si>
    <t>CostType</t>
  </si>
  <si>
    <t>PhaseCenter</t>
  </si>
  <si>
    <t>00300321 - PROJECT ENGINEER</t>
  </si>
  <si>
    <t>L</t>
  </si>
  <si>
    <t>0050301000</t>
  </si>
  <si>
    <t>LA</t>
  </si>
  <si>
    <t>LB</t>
  </si>
  <si>
    <t>LD</t>
  </si>
  <si>
    <t>LM</t>
  </si>
  <si>
    <t>00400000 - ALL LABOR</t>
  </si>
  <si>
    <t>00400401 - LIGHT FIXTURES</t>
  </si>
  <si>
    <t>00400403 - BW- LIGHTING- ABOVE CEILI</t>
  </si>
  <si>
    <t>00400404 - WIRING DEVICES- LIGHTING</t>
  </si>
  <si>
    <t>00400405 - DISTRIBUTION RACEWAY &amp; FE</t>
  </si>
  <si>
    <t>00400408 - GEAR</t>
  </si>
  <si>
    <t>00400409 - TEMPORARY</t>
  </si>
  <si>
    <t>00400413 - FIRE ALARM</t>
  </si>
  <si>
    <t>00400416 - DEMO</t>
  </si>
  <si>
    <t>00400417 - GROUNDING</t>
  </si>
  <si>
    <t>00400418 - TECHNOLOGIES</t>
  </si>
  <si>
    <t>00400419 - SUPERVISION</t>
  </si>
  <si>
    <t>00400420 - GENERATOR</t>
  </si>
  <si>
    <t>00400421 - UG DISTIBUTION/DB</t>
  </si>
  <si>
    <t>00400422 - MV CABLE</t>
  </si>
  <si>
    <t>00400423 - MV TERMINATIONS</t>
  </si>
  <si>
    <t>00400424 - START UP &amp; COMMISIONING</t>
  </si>
  <si>
    <t>00400425 - PUNCHLIST</t>
  </si>
  <si>
    <t>00401402 - BW- POWER- HOMERUNS</t>
  </si>
  <si>
    <t>00401403 - BW- POWER- ABOVE CEILING</t>
  </si>
  <si>
    <t>00401404 - WIRING DEVICES- POWER</t>
  </si>
  <si>
    <t>00405450 - ENGRAVING TAGS</t>
  </si>
  <si>
    <t>ABC</t>
  </si>
  <si>
    <t>Pseudo Cost Type</t>
  </si>
  <si>
    <t>(Under) / Over</t>
  </si>
  <si>
    <t>Original Labor Dollar Est.</t>
  </si>
  <si>
    <t>Change Order Labor Dollar Est.</t>
  </si>
  <si>
    <t>(Under)/Over</t>
  </si>
  <si>
    <t>Est. $/Hour</t>
  </si>
  <si>
    <t>JTD $/ Hr</t>
  </si>
  <si>
    <t>(Under) / Over2</t>
  </si>
  <si>
    <t>NOTICE TO PROCEED LABOR HOURS</t>
  </si>
  <si>
    <t>Material, Subcontract, Other &amp; Tax</t>
  </si>
  <si>
    <t>Materials / Subcontracts</t>
  </si>
  <si>
    <t>DJE / Others</t>
  </si>
  <si>
    <t>Summary Sheet Comparison</t>
  </si>
  <si>
    <t>CostType1</t>
  </si>
  <si>
    <t>Original Estimate</t>
  </si>
  <si>
    <t>Change Orders Estimate</t>
  </si>
  <si>
    <t>Current Estimate</t>
  </si>
  <si>
    <t>JTD</t>
  </si>
  <si>
    <t>Open</t>
  </si>
  <si>
    <t>JTD + Open</t>
  </si>
  <si>
    <t>Estimated Future Costs</t>
  </si>
  <si>
    <t>Projected Cost</t>
  </si>
  <si>
    <t>% Complete</t>
  </si>
  <si>
    <t>Variance</t>
  </si>
  <si>
    <t>% Variance</t>
  </si>
  <si>
    <t>ProjectStatus</t>
  </si>
  <si>
    <t>E</t>
  </si>
  <si>
    <t>00300306 - EQUIPMENT RENTAL</t>
  </si>
  <si>
    <t>A</t>
  </si>
  <si>
    <t>00300312 - STORAGE &amp; SHEDS</t>
  </si>
  <si>
    <t>00300327 - OFFSITE STORAGE</t>
  </si>
  <si>
    <t>Subtotal of E</t>
  </si>
  <si>
    <t>M</t>
  </si>
  <si>
    <t>00100000 - MISC MATERIALS</t>
  </si>
  <si>
    <t>00100010 - GALVANIZED CONDUIT &amp; FITT</t>
  </si>
  <si>
    <t>00100020 - EMT CONDUIT &amp; FITTINGS</t>
  </si>
  <si>
    <t>00100030 - PVC CONDUIT &amp; FITTTINGS</t>
  </si>
  <si>
    <t>00100040 - FIBERGLASS</t>
  </si>
  <si>
    <t>00100050 - PVC COATED CONDUIT &amp; FITT</t>
  </si>
  <si>
    <t>00100060 - IMC CONDUIT &amp; FITTINGS</t>
  </si>
  <si>
    <t>00100070 - ALUMINUM CONDUIT,FITTING</t>
  </si>
  <si>
    <t>00100100 - MATERIALS</t>
  </si>
  <si>
    <t>00100130 - SUPPORTS</t>
  </si>
  <si>
    <t>00100140 - FLEXIBLE CONDUIT &amp; FITTIN</t>
  </si>
  <si>
    <t>00100170 - GROUNDING</t>
  </si>
  <si>
    <t>00100180 - FIXTURES &amp; LAMPS &amp; PARTS</t>
  </si>
  <si>
    <t>00100210 - WIRING DEVICES &amp; WALL PLA</t>
  </si>
  <si>
    <t>00100230 - BOXES &amp; FITTINGS</t>
  </si>
  <si>
    <t>00100290 - LOW VOLTAGE WIRING CABLE</t>
  </si>
  <si>
    <t>00100310 - COPPER WIRE</t>
  </si>
  <si>
    <t>00100350 - ALUMINUM WIRE</t>
  </si>
  <si>
    <t>00100370 - MC CABLE &amp; FITTINGS</t>
  </si>
  <si>
    <t>00100390 - PORTABLE CORD &amp; FITTINGS</t>
  </si>
  <si>
    <t>00100420 - WIRE TERMINATIONS</t>
  </si>
  <si>
    <t>00100430 - SWITCHGEAR</t>
  </si>
  <si>
    <t>00100470 - CONCRETE &amp; ACCESSORIES</t>
  </si>
  <si>
    <t>00100490 - FIREPROOFING</t>
  </si>
  <si>
    <t>00100510 - SURFACE &amp; UNDERFLOOR RACE</t>
  </si>
  <si>
    <t>00100550 - GUTTER &amp; GUTTER FITTINGS</t>
  </si>
  <si>
    <t>00100560 - CABLE TRAY</t>
  </si>
  <si>
    <t>00100580 - SPECIAL &amp; LV SYSTEMS</t>
  </si>
  <si>
    <t>00100600 - FIREALARM</t>
  </si>
  <si>
    <t>00100610 - NURSE CALL</t>
  </si>
  <si>
    <t>00100620 - LIGHTNING PROTECTION</t>
  </si>
  <si>
    <t>00100630 - TEMPERATURE CONTROLS</t>
  </si>
  <si>
    <t>00100640 - LOW VOLTAGE SYSTEMS</t>
  </si>
  <si>
    <t>00100710 - DEMOLITION</t>
  </si>
  <si>
    <t>00100740 - TRENCHING,CONCRETE,MISC</t>
  </si>
  <si>
    <t>00100770 - FIBER CABLE &amp; ACCESSORIES</t>
  </si>
  <si>
    <t>00100810 - CORING &amp; HOLES</t>
  </si>
  <si>
    <t>00100850 - CORD SETS</t>
  </si>
  <si>
    <t>00100890 - SUBCONTRACTORS</t>
  </si>
  <si>
    <t>00100970 - TEMPORARY POWER COMPONENT</t>
  </si>
  <si>
    <t>00100980 - OVERHEAD UTILITY ITEMS</t>
  </si>
  <si>
    <t>00100990 - UNDEFINED ITEMS</t>
  </si>
  <si>
    <t>00200201 - FIXTURES</t>
  </si>
  <si>
    <t>00200202 - GEAR</t>
  </si>
  <si>
    <t>00200205 - GENERATOR</t>
  </si>
  <si>
    <t>00200206 - ATS</t>
  </si>
  <si>
    <t>00200207 - UPS</t>
  </si>
  <si>
    <t>00200208 - PDU</t>
  </si>
  <si>
    <t>00200210 - MANHOLES</t>
  </si>
  <si>
    <t>00200220 - MEDIUM VOLTAGE</t>
  </si>
  <si>
    <t>00200221 - CABLE TRAY</t>
  </si>
  <si>
    <t>00200223 - VEHICLE CHARGER</t>
  </si>
  <si>
    <t>00300318 - FREIGHT CHARGES</t>
  </si>
  <si>
    <t>00400450 - PREFAB</t>
  </si>
  <si>
    <t>Subtotal of M</t>
  </si>
  <si>
    <t>O</t>
  </si>
  <si>
    <t>00300301 - PERMITS</t>
  </si>
  <si>
    <t>00300302 - UTILITY CHARGES</t>
  </si>
  <si>
    <t>00300303 - SPECIAL INSURANCE</t>
  </si>
  <si>
    <t>00300305 - EXPENDABLES TOOLS/REPAIRS</t>
  </si>
  <si>
    <t>00300307 - TOOL EXPENSE</t>
  </si>
  <si>
    <t>00300314 - TELEPHONE &amp; CELL PH &amp; IT</t>
  </si>
  <si>
    <t>00300315 - AS BUILT DRAWINGS</t>
  </si>
  <si>
    <t>00300316 - VEHICLE EXPENSE</t>
  </si>
  <si>
    <t>00300317 - TRAVEL EXPENSE</t>
  </si>
  <si>
    <t>00300319 - FIELD OFFICE</t>
  </si>
  <si>
    <t>00300320 - PM</t>
  </si>
  <si>
    <t>00300322 - CADD</t>
  </si>
  <si>
    <t>00300323 - BOND EXPENSE</t>
  </si>
  <si>
    <t>00300324 - ENTERTAINMENT</t>
  </si>
  <si>
    <t>00300325 - LEGAL</t>
  </si>
  <si>
    <t>00300328 - SAFETY DRUG TESTING</t>
  </si>
  <si>
    <t>00300329 - DIESEL FUEL</t>
  </si>
  <si>
    <t>00300330 - LABOR CONTINGENCY</t>
  </si>
  <si>
    <t>00300331 - PACK</t>
  </si>
  <si>
    <t>Subtotal of O</t>
  </si>
  <si>
    <t>S</t>
  </si>
  <si>
    <t>00200203 - FIRE ALARM SUB CONTRACT</t>
  </si>
  <si>
    <t>00200204 - LIGHTNING PROTECTION</t>
  </si>
  <si>
    <t>00200209 - TESTING</t>
  </si>
  <si>
    <t>00200211 - DITCHING</t>
  </si>
  <si>
    <t>00200212 - CRANE</t>
  </si>
  <si>
    <t>00200213 - RIGGING/MOVERS</t>
  </si>
  <si>
    <t>00200214 - TELE/DATA</t>
  </si>
  <si>
    <t>00200215 - SECURITY/CCTV</t>
  </si>
  <si>
    <t>00200216 - NURSE CALL</t>
  </si>
  <si>
    <t>00200217 - A/V</t>
  </si>
  <si>
    <t>00200218 - CONTROLS</t>
  </si>
  <si>
    <t>00200222 - SOLAR</t>
  </si>
  <si>
    <t>00200224 - SCANNING &amp; CORING</t>
  </si>
  <si>
    <t>00200225 - HYDROVAC</t>
  </si>
  <si>
    <t>00200226 - CABLE TESTING</t>
  </si>
  <si>
    <t>00300308 - TRENCHING SUBCONTRACTOR</t>
  </si>
  <si>
    <t>00300309 - TESTING SERVICES</t>
  </si>
  <si>
    <t>00300310 - CRANE</t>
  </si>
  <si>
    <t>00300311 - CABLE TEST</t>
  </si>
  <si>
    <t>00300326 - CONTRACT LABOR</t>
  </si>
  <si>
    <t>00300399 - MISC SUBCONTRACTOR SVCS</t>
  </si>
  <si>
    <t>Subtotal of S</t>
  </si>
  <si>
    <t>T</t>
  </si>
  <si>
    <t>00300304 - SALES TAX/ TARIFFS</t>
  </si>
  <si>
    <t>Subtotal of T</t>
  </si>
  <si>
    <t>VarRevenue</t>
  </si>
  <si>
    <t>VarLabor</t>
  </si>
  <si>
    <t>VarBurden</t>
  </si>
  <si>
    <t>VarMatSub</t>
  </si>
  <si>
    <t>VarDJEOthers</t>
  </si>
  <si>
    <t>VarProfitPercOnCost</t>
  </si>
  <si>
    <t>EarnedMHs</t>
  </si>
  <si>
    <t>ActualMHs</t>
  </si>
  <si>
    <t>CompositeRateEst</t>
  </si>
  <si>
    <t>CompositeRateAct</t>
  </si>
  <si>
    <t>Job</t>
  </si>
  <si>
    <t>Department</t>
  </si>
  <si>
    <t>EOPeriodDate</t>
  </si>
  <si>
    <t>Estimated Manhours</t>
  </si>
  <si>
    <t>Estimated Gross Margin</t>
  </si>
  <si>
    <t>Current Labor Performance Factor</t>
  </si>
  <si>
    <t>Actual Manhour</t>
  </si>
  <si>
    <t>Actual Gross Margin</t>
  </si>
  <si>
    <t>Labor performance factorr</t>
  </si>
  <si>
    <t>Labor Performance Factor cost</t>
  </si>
  <si>
    <t>bid day Labor Performance Factor</t>
  </si>
  <si>
    <t>Est%CompleteATYE</t>
  </si>
  <si>
    <t>JTD Billings</t>
  </si>
  <si>
    <t>JTD Revenue</t>
  </si>
  <si>
    <t>overunderbilling</t>
  </si>
  <si>
    <t>JTD collected</t>
  </si>
  <si>
    <t>JTD Cost</t>
  </si>
  <si>
    <t>Net Cash Position</t>
  </si>
  <si>
    <t>Estimated Composite Rate</t>
  </si>
  <si>
    <t>Actual Composite rate</t>
  </si>
  <si>
    <t>Composite Rate Variance</t>
  </si>
  <si>
    <t>AR Aged Current</t>
  </si>
  <si>
    <t>ARAged130days</t>
  </si>
  <si>
    <t>ARAged3160days</t>
  </si>
  <si>
    <t>ARAged6190days</t>
  </si>
  <si>
    <t>ARAgedover90days</t>
  </si>
  <si>
    <t>ProjectUniqueID</t>
  </si>
  <si>
    <t>Labor_Performance_Factor</t>
  </si>
  <si>
    <t>Labor_Performance_Cost</t>
  </si>
  <si>
    <t>Bid_day_Labor_Performance_Factor</t>
  </si>
  <si>
    <t>WITH</t>
  </si>
  <si>
    <r>
      <t>subqueryTable0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</si>
  <si>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DISTINCT</t>
    </r>
  </si>
  <si>
    <r>
      <t>table0.Company_Code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Company_Code</t>
    </r>
    <r>
      <rPr>
        <sz val="12"/>
        <color rgb="FF202124"/>
        <rFont val="Menlo"/>
        <family val="2"/>
      </rPr>
      <t>,</t>
    </r>
  </si>
  <si>
    <r>
      <t>table0.Job_Number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Job_Number</t>
    </r>
    <r>
      <rPr>
        <sz val="12"/>
        <color rgb="FF202124"/>
        <rFont val="Menlo"/>
        <family val="2"/>
      </rPr>
      <t>,</t>
    </r>
  </si>
  <si>
    <r>
      <t>table0.Phase_Code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Phase_Code</t>
    </r>
    <r>
      <rPr>
        <sz val="12"/>
        <color rgb="FF202124"/>
        <rFont val="Menlo"/>
        <family val="2"/>
      </rPr>
      <t>,</t>
    </r>
  </si>
  <si>
    <r>
      <t>table0.Cost_Type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Cost_Type</t>
    </r>
    <r>
      <rPr>
        <sz val="12"/>
        <color rgb="FF202124"/>
        <rFont val="Menlo"/>
        <family val="2"/>
      </rPr>
      <t>,</t>
    </r>
  </si>
  <si>
    <r>
      <t>table0.Description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Description</t>
    </r>
    <r>
      <rPr>
        <sz val="12"/>
        <color rgb="FF202124"/>
        <rFont val="Menlo"/>
        <family val="2"/>
      </rPr>
      <t>,</t>
    </r>
  </si>
  <si>
    <r>
      <t>table0.Phase_Job_Number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Phase_Job_Number</t>
    </r>
    <r>
      <rPr>
        <sz val="12"/>
        <color rgb="FF202124"/>
        <rFont val="Menlo"/>
        <family val="2"/>
      </rPr>
      <t>,</t>
    </r>
  </si>
  <si>
    <r>
      <t>table0.Cost_Center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Cost_Center</t>
    </r>
    <r>
      <rPr>
        <sz val="12"/>
        <color rgb="FF202124"/>
        <rFont val="Menlo"/>
        <family val="2"/>
      </rPr>
      <t>,</t>
    </r>
  </si>
  <si>
    <r>
      <t>table0.Status_Code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Status_Code</t>
    </r>
  </si>
  <si>
    <t>FROM</t>
  </si>
  <si>
    <t>PHASE_MASTER</t>
  </si>
  <si>
    <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table0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</si>
  <si>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</si>
  <si>
    <r>
      <t>table0.Company_Code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table0.Job_Number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table0.Phase_Code</t>
    </r>
    <r>
      <rPr>
        <sz val="12"/>
        <color rgb="FF202124"/>
        <rFont val="Menlo"/>
        <family val="2"/>
      </rPr>
      <t>,</t>
    </r>
  </si>
  <si>
    <r>
      <t>table0.Cost_Type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table0.Description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table0.Phase_Job_Number</t>
    </r>
    <r>
      <rPr>
        <sz val="12"/>
        <color rgb="FF202124"/>
        <rFont val="Menlo"/>
        <family val="2"/>
      </rPr>
      <t>,</t>
    </r>
  </si>
  <si>
    <r>
      <t>table0.Cost_Center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table0.Status_Code</t>
    </r>
  </si>
  <si>
    <r>
      <t>)</t>
    </r>
    <r>
      <rPr>
        <sz val="12"/>
        <color rgb="FF202124"/>
        <rFont val="Menlo"/>
        <family val="2"/>
      </rPr>
      <t>,</t>
    </r>
  </si>
  <si>
    <r>
      <t>subqueryTable1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</si>
  <si>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</si>
  <si>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table0.Status_Code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Status_Code</t>
    </r>
    <r>
      <rPr>
        <sz val="12"/>
        <color rgb="FF202124"/>
        <rFont val="Menlo"/>
        <family val="2"/>
      </rPr>
      <t>,</t>
    </r>
  </si>
  <si>
    <r>
      <t>table0.Description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CostCodeDesc_MAPPING</t>
    </r>
  </si>
  <si>
    <r>
      <t>subqueryTable2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</si>
  <si>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table0.Phase_Code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CostCode_MAPPING</t>
    </r>
  </si>
  <si>
    <r>
      <t>subqueryTable3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</si>
  <si>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CompanyUniqueID_MAPPING</t>
    </r>
  </si>
  <si>
    <r>
      <t>subqueryTable4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</si>
  <si>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table0.Cost_Type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CostType_MAPPING</t>
    </r>
  </si>
  <si>
    <r>
      <t>subqueryTable5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</si>
  <si>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ProjectUniqueID_MAPPING</t>
    </r>
  </si>
  <si>
    <r>
      <t>subqueryTable6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</si>
  <si>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table0.Original_Est_Hours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OriginalHours_MAPPING</t>
    </r>
  </si>
  <si>
    <r>
      <t>subqueryTable7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</si>
  <si>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table0.Status_Code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projectstatus__custom_MAPPING</t>
    </r>
  </si>
  <si>
    <r>
      <t>subqueryTable8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</si>
  <si>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table0.Original_Est_Cost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OrigDollarEst_MAPPING</t>
    </r>
  </si>
  <si>
    <r>
      <t>subqueryTable9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</si>
  <si>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table0.Cost_Center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phasecenter__standard_MAPPING</t>
    </r>
  </si>
  <si>
    <r>
      <t>subqueryTable10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</si>
  <si>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table0.Cost_Type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Cost_Type</t>
    </r>
  </si>
  <si>
    <t>COMMITTED_SUMMARY</t>
  </si>
  <si>
    <t>table0.Cost_Type</t>
  </si>
  <si>
    <r>
      <t>subqueryTable11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</si>
  <si>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(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table0.PO_Ordered_Cost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-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table0.PO_Received_Cost</t>
    </r>
    <r>
      <rPr>
        <sz val="12"/>
        <color rgb="FF3C4043"/>
        <rFont val="Menlo"/>
        <family val="2"/>
      </rPr>
      <t>))</t>
    </r>
  </si>
  <si>
    <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OpenCommitmentsMaterials_MAPPING</t>
    </r>
  </si>
  <si>
    <r>
      <t>subqueryTable12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</si>
  <si>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subqueryTable13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</si>
  <si>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table0.Total_Hours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Total_Hours__standard_MAPPING</t>
    </r>
  </si>
  <si>
    <r>
      <t>subqueryTable14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</si>
  <si>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table0.Total_Hours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JTDHours_MAPPING</t>
    </r>
  </si>
  <si>
    <r>
      <t>subqueryTable15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</si>
  <si>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table0.Tran_Amount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JTDCost_MAPPING</t>
    </r>
  </si>
  <si>
    <r>
      <t>subqueryTable16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</si>
  <si>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table0.Tran_Amount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BurdenCost_MAPPING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</si>
  <si>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((</t>
    </r>
    <r>
      <rPr>
        <sz val="12"/>
        <color rgb="FF000000"/>
        <rFont val="Menlo"/>
        <family val="2"/>
      </rPr>
      <t>table0.Cost_Type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'B'</t>
    </r>
    <r>
      <rPr>
        <sz val="12"/>
        <color rgb="FF3C4043"/>
        <rFont val="Menlo"/>
        <family val="2"/>
      </rPr>
      <t>)))</t>
    </r>
  </si>
  <si>
    <r>
      <t>subqueryTable17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</si>
  <si>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subqueryTable18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</si>
  <si>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table0.Est_Hours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CurrentHours_MAPPING</t>
    </r>
  </si>
  <si>
    <r>
      <t>subqueryTable19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</si>
  <si>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table0.Est_Cost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CurrentDollarEst_MAPPING</t>
    </r>
  </si>
  <si>
    <r>
      <t>subqueryTable20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</si>
  <si>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table0.Company_Code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Company_Code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Job_Number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</si>
  <si>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table0.Company_Code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table0.Job_Number</t>
    </r>
  </si>
  <si>
    <r>
      <t>subqueryTable21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</si>
  <si>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table0.Earned_Revenue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JTD_Revenue_MAPPING</t>
    </r>
  </si>
  <si>
    <r>
      <t>subqueryTable22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</si>
  <si>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CR_PAY</t>
  </si>
  <si>
    <r>
      <t>subqueryTable23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</si>
  <si>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table0.Payment_Amount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JTDCollected_MAPPING</t>
    </r>
  </si>
  <si>
    <r>
      <t>subqueryTable24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</si>
  <si>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ALT_BILLING</t>
  </si>
  <si>
    <r>
      <t>subqueryTable25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</si>
  <si>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table0.Invoice_Amount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JTDGrossBillings_MAPPING</t>
    </r>
  </si>
  <si>
    <t>)</t>
  </si>
  <si>
    <r>
      <t>subqueryTable1.CostCodeDesc_MAPPING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CostCodeDesc</t>
    </r>
    <r>
      <rPr>
        <sz val="12"/>
        <color rgb="FF202124"/>
        <rFont val="Menlo"/>
        <family val="2"/>
      </rPr>
      <t>,</t>
    </r>
  </si>
  <si>
    <r>
      <t>subqueryTable2.CostCode_MAPPING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CostCode</t>
    </r>
    <r>
      <rPr>
        <sz val="12"/>
        <color rgb="FF202124"/>
        <rFont val="Menlo"/>
        <family val="2"/>
      </rPr>
      <t>,</t>
    </r>
  </si>
  <si>
    <r>
      <t>subqueryTable3.CompanyUniqueID_MAPPING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CompanyUniqueID</t>
    </r>
    <r>
      <rPr>
        <sz val="12"/>
        <color rgb="FF202124"/>
        <rFont val="Menlo"/>
        <family val="2"/>
      </rPr>
      <t>,</t>
    </r>
  </si>
  <si>
    <r>
      <t>subqueryTable4.CostType_MAPPING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CostType</t>
    </r>
    <r>
      <rPr>
        <sz val="12"/>
        <color rgb="FF202124"/>
        <rFont val="Menlo"/>
        <family val="2"/>
      </rPr>
      <t>,</t>
    </r>
  </si>
  <si>
    <r>
      <t>subqueryTable5.ProjectUniqueID_MAPPING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  <r>
      <rPr>
        <sz val="12"/>
        <color rgb="FF202124"/>
        <rFont val="Menlo"/>
        <family val="2"/>
      </rPr>
      <t>,</t>
    </r>
  </si>
  <si>
    <r>
      <t>subqueryTable6.OriginalHours_MAPPING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OriginalHours</t>
    </r>
    <r>
      <rPr>
        <sz val="12"/>
        <color rgb="FF202124"/>
        <rFont val="Menlo"/>
        <family val="2"/>
      </rPr>
      <t>,</t>
    </r>
  </si>
  <si>
    <r>
      <t>subqueryTable7.projectstatus__custom_MAPPING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projectstatus__custom</t>
    </r>
    <r>
      <rPr>
        <sz val="12"/>
        <color rgb="FF202124"/>
        <rFont val="Menlo"/>
        <family val="2"/>
      </rPr>
      <t>,</t>
    </r>
  </si>
  <si>
    <r>
      <t>subqueryTable8.OrigDollarEst_MAPPING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OrigDollarEst</t>
    </r>
    <r>
      <rPr>
        <sz val="12"/>
        <color rgb="FF202124"/>
        <rFont val="Menlo"/>
        <family val="2"/>
      </rPr>
      <t>,</t>
    </r>
  </si>
  <si>
    <r>
      <t>subqueryTable9.phasecenter__standard_MAPPING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phasecenter__standard</t>
    </r>
    <r>
      <rPr>
        <sz val="12"/>
        <color rgb="FF202124"/>
        <rFont val="Menlo"/>
        <family val="2"/>
      </rPr>
      <t>,</t>
    </r>
  </si>
  <si>
    <r>
      <t>subqueryTable11.OpenCommitmentsMaterials_MAPPING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OpenCommitmentsMaterials</t>
    </r>
    <r>
      <rPr>
        <sz val="12"/>
        <color rgb="FF202124"/>
        <rFont val="Menlo"/>
        <family val="2"/>
      </rPr>
      <t>,</t>
    </r>
  </si>
  <si>
    <r>
      <t>subqueryTable13.Total_Hours__standard_MAPPING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Total_Hours__standard</t>
    </r>
    <r>
      <rPr>
        <sz val="12"/>
        <color rgb="FF202124"/>
        <rFont val="Menlo"/>
        <family val="2"/>
      </rPr>
      <t>,</t>
    </r>
  </si>
  <si>
    <r>
      <t>subqueryTable14.JTDHours_MAPPING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JTDHours</t>
    </r>
    <r>
      <rPr>
        <sz val="12"/>
        <color rgb="FF202124"/>
        <rFont val="Menlo"/>
        <family val="2"/>
      </rPr>
      <t>,</t>
    </r>
  </si>
  <si>
    <r>
      <t>subqueryTable15.JTDCost_MAPPING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JTDCost</t>
    </r>
    <r>
      <rPr>
        <sz val="12"/>
        <color rgb="FF202124"/>
        <rFont val="Menlo"/>
        <family val="2"/>
      </rPr>
      <t>,</t>
    </r>
  </si>
  <si>
    <r>
      <t>subqueryTable16.BurdenCost_MAPPING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BurdenCost</t>
    </r>
    <r>
      <rPr>
        <sz val="12"/>
        <color rgb="FF202124"/>
        <rFont val="Menlo"/>
        <family val="2"/>
      </rPr>
      <t>,</t>
    </r>
  </si>
  <si>
    <r>
      <t>subqueryTable18.CurrentHours_MAPPING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CurrentHours</t>
    </r>
    <r>
      <rPr>
        <sz val="12"/>
        <color rgb="FF202124"/>
        <rFont val="Menlo"/>
        <family val="2"/>
      </rPr>
      <t>,</t>
    </r>
  </si>
  <si>
    <r>
      <t>subqueryTable19.CurrentDollarEst_MAPPING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CurrentDollarEst</t>
    </r>
    <r>
      <rPr>
        <sz val="12"/>
        <color rgb="FF202124"/>
        <rFont val="Menlo"/>
        <family val="2"/>
      </rPr>
      <t>,</t>
    </r>
  </si>
  <si>
    <r>
      <t>subqueryTable21.JTD_Revenue_MAPPING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JTD_Revenue</t>
    </r>
    <r>
      <rPr>
        <sz val="12"/>
        <color rgb="FF202124"/>
        <rFont val="Menlo"/>
        <family val="2"/>
      </rPr>
      <t>,</t>
    </r>
  </si>
  <si>
    <r>
      <t>subqueryTable23.JTDCollected_MAPPING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JTDCollected</t>
    </r>
    <r>
      <rPr>
        <sz val="12"/>
        <color rgb="FF202124"/>
        <rFont val="Menlo"/>
        <family val="2"/>
      </rPr>
      <t>,</t>
    </r>
  </si>
  <si>
    <r>
      <t>subqueryTable25.JTDGrossBillings_MAPPING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JTDGrossBillings</t>
    </r>
    <r>
      <rPr>
        <sz val="12"/>
        <color rgb="FF202124"/>
        <rFont val="Menlo"/>
        <family val="2"/>
      </rPr>
      <t>,</t>
    </r>
  </si>
  <si>
    <t>CASE</t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</si>
  <si>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subqueryTable5.ProjectUniqueID_MAPPING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3C4043"/>
        <rFont val="Menlo"/>
        <family val="2"/>
      </rPr>
      <t>)</t>
    </r>
  </si>
  <si>
    <t>THEN</t>
  </si>
  <si>
    <r>
      <t>CONCAT</t>
    </r>
    <r>
      <rPr>
        <sz val="12"/>
        <color rgb="FF3C4043"/>
        <rFont val="Menlo"/>
        <family val="2"/>
      </rPr>
      <t>(</t>
    </r>
  </si>
  <si>
    <r>
      <t>IFNULL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subqueryTable2.CostCode_MAPPING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""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</si>
  <si>
    <r>
      <t>" - "</t>
    </r>
    <r>
      <rPr>
        <sz val="12"/>
        <color rgb="FF202124"/>
        <rFont val="Menlo"/>
        <family val="2"/>
      </rPr>
      <t>,</t>
    </r>
  </si>
  <si>
    <r>
      <t>IFNULL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subqueryTable1.CostCodeDesc_MAPPING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""</t>
    </r>
    <r>
      <rPr>
        <sz val="12"/>
        <color rgb="FF3C4043"/>
        <rFont val="Menlo"/>
        <family val="2"/>
      </rPr>
      <t>))</t>
    </r>
  </si>
  <si>
    <t>ELSE</t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</si>
  <si>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Phase_Code</t>
    </r>
    <r>
      <rPr>
        <sz val="12"/>
        <color rgb="FF202124"/>
        <rFont val="Menlo"/>
        <family val="2"/>
      </rPr>
      <t>,</t>
    </r>
  </si>
  <si>
    <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'2026-01-05 20:32:16'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DATETIME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BQInsertTimeUTC</t>
    </r>
    <r>
      <rPr>
        <sz val="12"/>
        <color rgb="FF202124"/>
        <rFont val="Menlo"/>
        <family val="2"/>
      </rPr>
      <t>,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</si>
  <si>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</si>
  <si>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</t>
    </r>
  </si>
  <si>
    <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</si>
  <si>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</si>
  <si>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</si>
  <si>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</si>
  <si>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</si>
  <si>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</si>
  <si>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</si>
  <si>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</si>
  <si>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</si>
  <si>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</si>
  <si>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</si>
  <si>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</si>
  <si>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</si>
  <si>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</si>
  <si>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</si>
  <si>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</si>
  <si>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</si>
  <si>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</si>
  <si>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subqueryTable3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</si>
  <si>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</si>
  <si>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</si>
  <si>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</si>
  <si>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</si>
  <si>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</si>
  <si>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</si>
  <si>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</si>
  <si>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</si>
  <si>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subqueryTable4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</si>
  <si>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</si>
  <si>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</si>
  <si>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</si>
  <si>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</si>
  <si>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</si>
  <si>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</si>
  <si>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</si>
  <si>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</si>
  <si>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subqueryTable5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</si>
  <si>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</si>
  <si>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</si>
  <si>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</si>
  <si>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</si>
  <si>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</si>
  <si>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</si>
  <si>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</si>
  <si>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</si>
  <si>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subqueryTable6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</si>
  <si>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</si>
  <si>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</si>
  <si>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</si>
  <si>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</si>
  <si>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</si>
  <si>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</si>
  <si>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</si>
  <si>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</si>
  <si>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subqueryTable7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</si>
  <si>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</si>
  <si>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</si>
  <si>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</si>
  <si>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</si>
  <si>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</si>
  <si>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</si>
  <si>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</si>
  <si>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</si>
  <si>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subqueryTable8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</si>
  <si>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</si>
  <si>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</si>
  <si>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</si>
  <si>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</si>
  <si>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</si>
  <si>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</si>
  <si>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</si>
  <si>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subqueryTable8.Status_Code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</si>
  <si>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subqueryTable9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</si>
  <si>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</si>
  <si>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</si>
  <si>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</si>
  <si>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subqueryTable9.Cost_Type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</si>
  <si>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maintable.Description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subqueryTable9.Description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</si>
  <si>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subqueryTable9.Phase_Job_Number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</si>
  <si>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maintable.Cost_Center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subqueryTable9.Cost_Center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</si>
  <si>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maintable.Status_Code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subqueryTable9.Status_Code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</si>
  <si>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subqueryTable10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</si>
  <si>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subqueryTable10.Company_Code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</si>
  <si>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subqueryTable10.Job_Number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</si>
  <si>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subqueryTable10.Phase_Code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</si>
  <si>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subqueryTable10.Cost_Type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</si>
  <si>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subqueryTable11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</si>
  <si>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subqueryTable11.Company_Code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</si>
  <si>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subqueryTable11.Job_Number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</si>
  <si>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subqueryTable11.Phase_Code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</si>
  <si>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subqueryTable11.Cost_Type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</si>
  <si>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subqueryTable12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</si>
  <si>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subqueryTable12.Company_Code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</si>
  <si>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subqueryTable12.Job_Number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</si>
  <si>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subqueryTable12.Phase_Code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</si>
  <si>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subqueryTable12.Cost_Type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</si>
  <si>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subqueryTable13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</si>
  <si>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subqueryTable13.Company_Code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</si>
  <si>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subqueryTable13.Job_Number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</si>
  <si>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subqueryTable13.Phase_Code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</si>
  <si>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subqueryTable13.Cost_Type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</si>
  <si>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subqueryTable14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</si>
  <si>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subqueryTable14.Company_Code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</si>
  <si>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subqueryTable14.Job_Number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</si>
  <si>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subqueryTable14.Phase_Code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</si>
  <si>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subqueryTable14.Cost_Type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</si>
  <si>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subqueryTable15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</si>
  <si>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subqueryTable15.Company_Code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</si>
  <si>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subqueryTable15.Job_Number</t>
    </r>
  </si>
  <si>
    <t>TRANSACTIONS</t>
  </si>
  <si>
    <t>PHASE_ESTIMATE</t>
  </si>
  <si>
    <t>REVENUE</t>
  </si>
  <si>
    <r>
      <t>"2026-01-31"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EOPeriodDate</t>
    </r>
    <r>
      <rPr>
        <sz val="12"/>
        <color rgb="FF202124"/>
        <rFont val="Menlo"/>
        <family val="2"/>
      </rPr>
      <t>,</t>
    </r>
  </si>
  <si>
    <r>
      <t>"1"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Period</t>
    </r>
    <r>
      <rPr>
        <sz val="12"/>
        <color rgb="FF202124"/>
        <rFont val="Menlo"/>
        <family val="2"/>
      </rPr>
      <t>,</t>
    </r>
  </si>
  <si>
    <r>
      <t>"2026"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Year</t>
    </r>
    <r>
      <rPr>
        <sz val="12"/>
        <color rgb="FF202124"/>
        <rFont val="Menlo"/>
        <family val="2"/>
      </rPr>
      <t>,</t>
    </r>
  </si>
  <si>
    <r>
      <t>'praveen.kumar@discretus-latere.com'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ModifiedBy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</si>
  <si>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subqueryTable15.Phase_Code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</si>
  <si>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subqueryTable15.Cost_Type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</si>
  <si>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subqueryTable16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</si>
  <si>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subqueryTable16.Company_Code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</si>
  <si>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subqueryTable16.Job_Number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</si>
  <si>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subqueryTable16.Phase_Code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</si>
  <si>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subqueryTable16.Cost_Type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</si>
  <si>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subqueryTable17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</si>
  <si>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subqueryTable17.Company_Code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</si>
  <si>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subqueryTable17.Job_Number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</si>
  <si>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subqueryTable17.Phase_Code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</si>
  <si>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subqueryTable17.Cost_Type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</si>
  <si>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subqueryTable18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</si>
  <si>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subqueryTable18.Company_Code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</si>
  <si>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subqueryTable18.Job_Number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</si>
  <si>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subqueryTable18.Phase_Code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</si>
  <si>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subqueryTable18.Cost_Type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</si>
  <si>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subqueryTable19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</si>
  <si>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subqueryTable19.Company_Code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</si>
  <si>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subqueryTable19.Job_Number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</si>
  <si>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subqueryTable19.Phase_Code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</si>
  <si>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maintable.Cost_Type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subqueryTable19.Cost_Type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</si>
  <si>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subqueryTable20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</si>
  <si>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subqueryTable20.Company_Code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</si>
  <si>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subqueryTable20.Job_Number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</si>
  <si>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subqueryTable21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</si>
  <si>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subqueryTable21.Company_Code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</si>
  <si>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subqueryTable21.Job_Number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</si>
  <si>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subqueryTable22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</si>
  <si>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subqueryTable22.Company_Code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</si>
  <si>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subqueryTable22.Job_Number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</si>
  <si>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subqueryTable23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</si>
  <si>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subqueryTable23.Company_Code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</si>
  <si>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subqueryTable23.Job_Number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</si>
  <si>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subqueryTable24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</si>
  <si>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subqueryTable24.Company_Code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</si>
  <si>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subqueryTable24.Job_Number</t>
    </r>
    <r>
      <rPr>
        <sz val="12"/>
        <color rgb="FF3C4043"/>
        <rFont val="Menlo"/>
        <family val="2"/>
      </rPr>
      <t>)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</si>
  <si>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subqueryTable25</t>
    </r>
  </si>
  <si>
    <r>
      <t>maintable.Company_Code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subqueryTable25.Company_Code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</si>
  <si>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maintable.Phase_Job_Number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subqueryTable25.Job_Number</t>
    </r>
    <r>
      <rPr>
        <sz val="12"/>
        <color rgb="FF3C4043"/>
        <rFont val="Menlo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</si>
</sst>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0.00_);\(0.00\)"/>
    <numFmt numFmtId="166" formatCode="#,##0;[Red]\(#,##0\);&quot;-&quot;"/>
    <numFmt numFmtId="167" formatCode="#,##0.00;[Red]\(#,##0.00\);&quot;-&quot;"/>
  </numFmts>
  <fonts count="22">
    <font>
      <sz val="11"/>
      <color rgb="FF000000"/>
      <name val="Calibri"/>
      <scheme val="minor"/>
    </font>
    <font>
      <sz val="11"/>
      <color indexed="0"/>
      <name val="Calibri"/>
      <family val="2"/>
      <scheme val="minor"/>
    </font>
    <font>
      <b/>
      <sz val="11"/>
      <color rgb="FF2E384D"/>
      <name val="Calibri"/>
      <family val="2"/>
    </font>
    <font>
      <sz val="11"/>
      <color rgb="FF2E384D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2E384D"/>
      <name val="/ 16px Calibri"/>
    </font>
    <font>
      <sz val="10"/>
      <color rgb="FF2E384D"/>
      <name val="/ 16px Calibri"/>
    </font>
    <font>
      <sz val="10"/>
      <color rgb="FF2E384D"/>
      <name val="/ 20px Calibri"/>
    </font>
    <font>
      <b/>
      <sz val="10"/>
      <color rgb="FF2E384D"/>
      <name val="/ 16px Arial"/>
    </font>
    <font>
      <b/>
      <sz val="10"/>
      <color theme="1"/>
      <name val="Calibri"/>
      <family val="2"/>
    </font>
    <font>
      <b/>
      <sz val="10"/>
      <color rgb="FF2E384D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  <scheme val="minor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top"/>
    </xf>
  </cellStyleXfs>
  <cellXfs count="164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>
      <alignment vertical="top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43" fontId="1" fillId="0" borderId="6" xfId="0" applyNumberFormat="1" applyFont="1" applyBorder="1">
      <alignment vertical="top"/>
    </xf>
    <xf numFmtId="43" fontId="1" fillId="0" borderId="0" xfId="0" applyNumberFormat="1" applyFont="1">
      <alignment vertical="top"/>
    </xf>
    <xf numFmtId="43" fontId="1" fillId="0" borderId="7" xfId="0" applyNumberFormat="1" applyFont="1" applyBorder="1">
      <alignment vertical="top"/>
    </xf>
    <xf numFmtId="43" fontId="1" fillId="0" borderId="8" xfId="0" applyNumberFormat="1" applyFont="1" applyBorder="1">
      <alignment vertical="top"/>
    </xf>
    <xf numFmtId="0" fontId="3" fillId="0" borderId="0" xfId="0" applyFont="1" applyAlignment="1">
      <alignment horizontal="left"/>
    </xf>
    <xf numFmtId="43" fontId="1" fillId="4" borderId="6" xfId="0" applyNumberFormat="1" applyFont="1" applyFill="1" applyBorder="1">
      <alignment vertical="top"/>
    </xf>
    <xf numFmtId="43" fontId="1" fillId="5" borderId="6" xfId="0" applyNumberFormat="1" applyFont="1" applyFill="1" applyBorder="1">
      <alignment vertical="top"/>
    </xf>
    <xf numFmtId="43" fontId="1" fillId="0" borderId="9" xfId="0" applyNumberFormat="1" applyFont="1" applyBorder="1">
      <alignment vertical="top"/>
    </xf>
    <xf numFmtId="43" fontId="1" fillId="0" borderId="10" xfId="0" applyNumberFormat="1" applyFont="1" applyBorder="1">
      <alignment vertical="top"/>
    </xf>
    <xf numFmtId="43" fontId="1" fillId="0" borderId="11" xfId="0" applyNumberFormat="1" applyFont="1" applyBorder="1">
      <alignment vertical="top"/>
    </xf>
    <xf numFmtId="43" fontId="1" fillId="0" borderId="12" xfId="0" applyNumberFormat="1" applyFont="1" applyBorder="1">
      <alignment vertical="top"/>
    </xf>
    <xf numFmtId="10" fontId="1" fillId="0" borderId="6" xfId="0" applyNumberFormat="1" applyFont="1" applyBorder="1">
      <alignment vertical="top"/>
    </xf>
    <xf numFmtId="10" fontId="1" fillId="0" borderId="0" xfId="0" applyNumberFormat="1" applyFont="1">
      <alignment vertical="top"/>
    </xf>
    <xf numFmtId="10" fontId="1" fillId="0" borderId="7" xfId="0" applyNumberFormat="1" applyFont="1" applyBorder="1">
      <alignment vertical="top"/>
    </xf>
    <xf numFmtId="10" fontId="1" fillId="0" borderId="8" xfId="0" applyNumberFormat="1" applyFont="1" applyBorder="1">
      <alignment vertical="top"/>
    </xf>
    <xf numFmtId="10" fontId="1" fillId="0" borderId="13" xfId="0" applyNumberFormat="1" applyFont="1" applyBorder="1">
      <alignment vertical="top"/>
    </xf>
    <xf numFmtId="10" fontId="1" fillId="0" borderId="14" xfId="0" applyNumberFormat="1" applyFont="1" applyBorder="1">
      <alignment vertical="top"/>
    </xf>
    <xf numFmtId="10" fontId="1" fillId="0" borderId="15" xfId="0" applyNumberFormat="1" applyFont="1" applyBorder="1">
      <alignment vertical="top"/>
    </xf>
    <xf numFmtId="49" fontId="1" fillId="0" borderId="1" xfId="0" applyNumberFormat="1" applyFont="1" applyBorder="1">
      <alignment vertical="top"/>
    </xf>
    <xf numFmtId="49" fontId="1" fillId="0" borderId="20" xfId="0" applyNumberFormat="1" applyFont="1" applyBorder="1">
      <alignment vertical="top"/>
    </xf>
    <xf numFmtId="44" fontId="1" fillId="2" borderId="1" xfId="0" applyNumberFormat="1" applyFont="1" applyFill="1" applyBorder="1">
      <alignment vertical="top"/>
    </xf>
    <xf numFmtId="0" fontId="1" fillId="0" borderId="1" xfId="0" applyFont="1" applyBorder="1">
      <alignment vertical="top"/>
    </xf>
    <xf numFmtId="164" fontId="1" fillId="0" borderId="1" xfId="0" applyNumberFormat="1" applyFont="1" applyBorder="1">
      <alignment vertical="top"/>
    </xf>
    <xf numFmtId="43" fontId="1" fillId="0" borderId="1" xfId="0" applyNumberFormat="1" applyFont="1" applyBorder="1">
      <alignment vertical="top"/>
    </xf>
    <xf numFmtId="43" fontId="1" fillId="6" borderId="23" xfId="0" applyNumberFormat="1" applyFont="1" applyFill="1" applyBorder="1">
      <alignment vertical="top"/>
    </xf>
    <xf numFmtId="43" fontId="1" fillId="6" borderId="24" xfId="0" applyNumberFormat="1" applyFont="1" applyFill="1" applyBorder="1">
      <alignment vertical="top"/>
    </xf>
    <xf numFmtId="43" fontId="1" fillId="6" borderId="25" xfId="0" applyNumberFormat="1" applyFont="1" applyFill="1" applyBorder="1">
      <alignment vertical="top"/>
    </xf>
    <xf numFmtId="43" fontId="1" fillId="6" borderId="26" xfId="0" applyNumberFormat="1" applyFont="1" applyFill="1" applyBorder="1">
      <alignment vertical="top"/>
    </xf>
    <xf numFmtId="43" fontId="1" fillId="4" borderId="1" xfId="0" applyNumberFormat="1" applyFont="1" applyFill="1" applyBorder="1">
      <alignment vertical="top"/>
    </xf>
    <xf numFmtId="49" fontId="4" fillId="0" borderId="1" xfId="0" applyNumberFormat="1" applyFont="1" applyBorder="1">
      <alignment vertical="top"/>
    </xf>
    <xf numFmtId="10" fontId="5" fillId="3" borderId="1" xfId="0" applyNumberFormat="1" applyFont="1" applyFill="1" applyBorder="1" applyAlignment="1">
      <alignment horizontal="right" vertical="top"/>
    </xf>
    <xf numFmtId="49" fontId="1" fillId="0" borderId="25" xfId="0" applyNumberFormat="1" applyFont="1" applyBorder="1" applyAlignment="1">
      <alignment horizontal="right" vertical="top"/>
    </xf>
    <xf numFmtId="2" fontId="1" fillId="0" borderId="0" xfId="0" applyNumberFormat="1" applyFont="1">
      <alignment vertical="top"/>
    </xf>
    <xf numFmtId="49" fontId="1" fillId="0" borderId="1" xfId="0" applyNumberFormat="1" applyFont="1" applyBorder="1" applyAlignment="1">
      <alignment horizontal="right" vertical="top"/>
    </xf>
    <xf numFmtId="49" fontId="5" fillId="4" borderId="1" xfId="0" applyNumberFormat="1" applyFont="1" applyFill="1" applyBorder="1">
      <alignment vertical="top"/>
    </xf>
    <xf numFmtId="0" fontId="1" fillId="6" borderId="1" xfId="0" applyFont="1" applyFill="1" applyBorder="1">
      <alignment vertical="top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49" fontId="6" fillId="0" borderId="0" xfId="0" applyNumberFormat="1" applyFont="1">
      <alignment vertical="top"/>
    </xf>
    <xf numFmtId="49" fontId="7" fillId="0" borderId="0" xfId="0" applyNumberFormat="1" applyFont="1">
      <alignment vertical="top"/>
    </xf>
    <xf numFmtId="49" fontId="7" fillId="0" borderId="1" xfId="0" applyNumberFormat="1" applyFont="1" applyBorder="1">
      <alignment vertical="top"/>
    </xf>
    <xf numFmtId="0" fontId="6" fillId="0" borderId="28" xfId="0" applyFont="1" applyBorder="1">
      <alignment vertical="top"/>
    </xf>
    <xf numFmtId="0" fontId="6" fillId="0" borderId="22" xfId="0" applyFont="1" applyBorder="1">
      <alignment vertical="top"/>
    </xf>
    <xf numFmtId="0" fontId="8" fillId="0" borderId="1" xfId="0" applyFont="1" applyBorder="1" applyAlignment="1">
      <alignment horizontal="left"/>
    </xf>
    <xf numFmtId="43" fontId="6" fillId="0" borderId="0" xfId="0" applyNumberFormat="1" applyFont="1">
      <alignment vertical="top"/>
    </xf>
    <xf numFmtId="0" fontId="6" fillId="0" borderId="24" xfId="0" applyFont="1" applyBorder="1">
      <alignment vertical="top"/>
    </xf>
    <xf numFmtId="0" fontId="6" fillId="0" borderId="29" xfId="0" applyFont="1" applyBorder="1">
      <alignment vertical="top"/>
    </xf>
    <xf numFmtId="43" fontId="6" fillId="0" borderId="29" xfId="0" applyNumberFormat="1" applyFont="1" applyBorder="1">
      <alignment vertical="top"/>
    </xf>
    <xf numFmtId="0" fontId="6" fillId="0" borderId="26" xfId="0" applyFont="1" applyBorder="1">
      <alignment vertical="top"/>
    </xf>
    <xf numFmtId="0" fontId="8" fillId="0" borderId="30" xfId="0" applyFont="1" applyBorder="1" applyAlignment="1">
      <alignment horizontal="center"/>
    </xf>
    <xf numFmtId="0" fontId="6" fillId="0" borderId="31" xfId="0" applyFont="1" applyBorder="1">
      <alignment vertical="top"/>
    </xf>
    <xf numFmtId="0" fontId="8" fillId="0" borderId="31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2" fontId="6" fillId="0" borderId="28" xfId="0" applyNumberFormat="1" applyFont="1" applyBorder="1">
      <alignment vertical="top"/>
    </xf>
    <xf numFmtId="164" fontId="6" fillId="0" borderId="28" xfId="0" applyNumberFormat="1" applyFont="1" applyBorder="1">
      <alignment vertical="top"/>
    </xf>
    <xf numFmtId="164" fontId="6" fillId="2" borderId="28" xfId="0" applyNumberFormat="1" applyFont="1" applyFill="1" applyBorder="1">
      <alignment vertical="top"/>
    </xf>
    <xf numFmtId="164" fontId="6" fillId="0" borderId="22" xfId="0" applyNumberFormat="1" applyFont="1" applyBorder="1">
      <alignment vertical="top"/>
    </xf>
    <xf numFmtId="0" fontId="9" fillId="0" borderId="32" xfId="0" applyFont="1" applyBorder="1" applyAlignment="1">
      <alignment horizontal="left"/>
    </xf>
    <xf numFmtId="164" fontId="6" fillId="0" borderId="29" xfId="0" applyNumberFormat="1" applyFont="1" applyBorder="1">
      <alignment vertical="top"/>
    </xf>
    <xf numFmtId="164" fontId="6" fillId="0" borderId="26" xfId="0" applyNumberFormat="1" applyFont="1" applyBorder="1">
      <alignment vertical="top"/>
    </xf>
    <xf numFmtId="164" fontId="6" fillId="0" borderId="0" xfId="0" applyNumberFormat="1" applyFont="1">
      <alignment vertical="top"/>
    </xf>
    <xf numFmtId="164" fontId="6" fillId="0" borderId="24" xfId="0" applyNumberFormat="1" applyFont="1" applyBorder="1">
      <alignment vertical="top"/>
    </xf>
    <xf numFmtId="2" fontId="6" fillId="0" borderId="0" xfId="0" applyNumberFormat="1" applyFont="1">
      <alignment vertical="top"/>
    </xf>
    <xf numFmtId="0" fontId="9" fillId="0" borderId="33" xfId="0" applyFont="1" applyBorder="1" applyAlignment="1">
      <alignment horizontal="left"/>
    </xf>
    <xf numFmtId="43" fontId="6" fillId="0" borderId="10" xfId="0" applyNumberFormat="1" applyFont="1" applyBorder="1">
      <alignment vertical="top"/>
    </xf>
    <xf numFmtId="164" fontId="6" fillId="0" borderId="10" xfId="0" applyNumberFormat="1" applyFont="1" applyBorder="1">
      <alignment vertical="top"/>
    </xf>
    <xf numFmtId="164" fontId="6" fillId="0" borderId="34" xfId="0" applyNumberFormat="1" applyFont="1" applyBorder="1">
      <alignment vertical="top"/>
    </xf>
    <xf numFmtId="0" fontId="10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7" fillId="0" borderId="30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165" fontId="7" fillId="0" borderId="0" xfId="0" applyNumberFormat="1" applyFont="1" applyAlignment="1">
      <alignment horizontal="right" vertical="top"/>
    </xf>
    <xf numFmtId="43" fontId="7" fillId="0" borderId="0" xfId="0" applyNumberFormat="1" applyFont="1" applyAlignment="1">
      <alignment horizontal="right" vertical="top"/>
    </xf>
    <xf numFmtId="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49" fontId="7" fillId="3" borderId="16" xfId="0" applyNumberFormat="1" applyFont="1" applyFill="1" applyBorder="1" applyAlignment="1" applyProtection="1">
      <alignment horizontal="center" wrapText="1"/>
      <protection locked="0"/>
    </xf>
    <xf numFmtId="49" fontId="7" fillId="3" borderId="18" xfId="0" applyNumberFormat="1" applyFont="1" applyFill="1" applyBorder="1" applyAlignment="1" applyProtection="1">
      <alignment horizontal="center" wrapText="1"/>
      <protection locked="0"/>
    </xf>
    <xf numFmtId="49" fontId="7" fillId="0" borderId="35" xfId="0" applyNumberFormat="1" applyFont="1" applyBorder="1" applyAlignment="1" applyProtection="1">
      <alignment horizontal="center" wrapText="1"/>
      <protection locked="0"/>
    </xf>
    <xf numFmtId="49" fontId="7" fillId="3" borderId="35" xfId="0" applyNumberFormat="1" applyFont="1" applyFill="1" applyBorder="1" applyAlignment="1" applyProtection="1">
      <alignment horizontal="center" wrapText="1"/>
      <protection locked="0"/>
    </xf>
    <xf numFmtId="49" fontId="12" fillId="3" borderId="36" xfId="0" applyNumberFormat="1" applyFont="1" applyFill="1" applyBorder="1" applyAlignment="1" applyProtection="1">
      <alignment horizontal="center" wrapText="1"/>
      <protection locked="0"/>
    </xf>
    <xf numFmtId="49" fontId="12" fillId="3" borderId="37" xfId="0" applyNumberFormat="1" applyFont="1" applyFill="1" applyBorder="1" applyAlignment="1" applyProtection="1">
      <alignment horizontal="center" wrapText="1"/>
      <protection locked="0"/>
    </xf>
    <xf numFmtId="14" fontId="6" fillId="0" borderId="1" xfId="0" applyNumberFormat="1" applyFont="1" applyBorder="1" applyProtection="1">
      <alignment vertical="top"/>
      <protection locked="0"/>
    </xf>
    <xf numFmtId="41" fontId="6" fillId="0" borderId="1" xfId="0" applyNumberFormat="1" applyFont="1" applyBorder="1" applyProtection="1">
      <alignment vertical="top"/>
      <protection locked="0"/>
    </xf>
    <xf numFmtId="43" fontId="6" fillId="0" borderId="1" xfId="0" applyNumberFormat="1" applyFont="1" applyBorder="1" applyProtection="1">
      <alignment vertical="top"/>
      <protection locked="0"/>
    </xf>
    <xf numFmtId="43" fontId="1" fillId="0" borderId="27" xfId="0" applyNumberFormat="1" applyFont="1" applyBorder="1">
      <alignment vertical="top"/>
    </xf>
    <xf numFmtId="14" fontId="1" fillId="0" borderId="0" xfId="0" applyNumberFormat="1" applyFont="1">
      <alignment vertical="top"/>
    </xf>
    <xf numFmtId="39" fontId="5" fillId="0" borderId="0" xfId="0" applyNumberFormat="1" applyFont="1">
      <alignment vertical="top"/>
    </xf>
    <xf numFmtId="10" fontId="5" fillId="0" borderId="0" xfId="0" applyNumberFormat="1" applyFont="1">
      <alignment vertical="top"/>
    </xf>
    <xf numFmtId="0" fontId="5" fillId="0" borderId="0" xfId="0" applyFont="1">
      <alignment vertical="top"/>
    </xf>
    <xf numFmtId="49" fontId="13" fillId="0" borderId="38" xfId="0" applyNumberFormat="1" applyFont="1" applyBorder="1" applyAlignment="1" applyProtection="1">
      <alignment horizontal="left" vertical="center" wrapText="1" indent="1"/>
      <protection locked="0"/>
    </xf>
    <xf numFmtId="49" fontId="13" fillId="0" borderId="27" xfId="0" applyNumberFormat="1" applyFont="1" applyBorder="1" applyAlignment="1">
      <alignment horizontal="left" vertical="center" wrapText="1" indent="1"/>
    </xf>
    <xf numFmtId="43" fontId="2" fillId="2" borderId="17" xfId="0" applyNumberFormat="1" applyFont="1" applyFill="1" applyBorder="1" applyAlignment="1">
      <alignment horizontal="left" vertical="center" wrapText="1" indent="1"/>
    </xf>
    <xf numFmtId="43" fontId="2" fillId="0" borderId="17" xfId="0" applyNumberFormat="1" applyFont="1" applyBorder="1" applyAlignment="1">
      <alignment horizontal="left" vertical="center" wrapText="1" indent="1"/>
    </xf>
    <xf numFmtId="10" fontId="2" fillId="3" borderId="17" xfId="0" applyNumberFormat="1" applyFont="1" applyFill="1" applyBorder="1" applyAlignment="1" applyProtection="1">
      <alignment horizontal="left" vertical="center" wrapText="1" indent="1"/>
      <protection locked="0"/>
    </xf>
    <xf numFmtId="43" fontId="2" fillId="3" borderId="17" xfId="0" applyNumberFormat="1" applyFont="1" applyFill="1" applyBorder="1" applyAlignment="1" applyProtection="1">
      <alignment horizontal="left" vertical="center" wrapText="1" indent="1"/>
      <protection locked="0"/>
    </xf>
    <xf numFmtId="43" fontId="2" fillId="0" borderId="19" xfId="0" applyNumberFormat="1" applyFont="1" applyBorder="1" applyAlignment="1">
      <alignment horizontal="left" vertical="center" wrapText="1" indent="1"/>
    </xf>
    <xf numFmtId="43" fontId="13" fillId="2" borderId="17" xfId="0" applyNumberFormat="1" applyFont="1" applyFill="1" applyBorder="1" applyAlignment="1">
      <alignment horizontal="left" vertical="center" wrapText="1" indent="1"/>
    </xf>
    <xf numFmtId="43" fontId="13" fillId="0" borderId="17" xfId="0" applyNumberFormat="1" applyFont="1" applyBorder="1" applyAlignment="1">
      <alignment horizontal="left" vertical="center" wrapText="1" indent="1"/>
    </xf>
    <xf numFmtId="43" fontId="13" fillId="0" borderId="19" xfId="0" applyNumberFormat="1" applyFont="1" applyBorder="1" applyAlignment="1">
      <alignment horizontal="left" vertical="center" wrapText="1" indent="1"/>
    </xf>
    <xf numFmtId="0" fontId="14" fillId="7" borderId="0" xfId="0" applyFont="1" applyFill="1">
      <alignment vertical="top"/>
    </xf>
    <xf numFmtId="49" fontId="1" fillId="0" borderId="0" xfId="0" applyNumberFormat="1" applyFont="1" applyProtection="1">
      <alignment vertical="top"/>
      <protection locked="0"/>
    </xf>
    <xf numFmtId="49" fontId="1" fillId="0" borderId="0" xfId="0" applyNumberFormat="1" applyFont="1" applyAlignment="1">
      <alignment horizontal="center" vertical="top"/>
    </xf>
    <xf numFmtId="10" fontId="1" fillId="0" borderId="0" xfId="0" applyNumberFormat="1" applyFont="1" applyProtection="1">
      <alignment vertical="top"/>
      <protection locked="0"/>
    </xf>
    <xf numFmtId="43" fontId="15" fillId="0" borderId="0" xfId="0" applyNumberFormat="1" applyFont="1" applyAlignment="1">
      <alignment horizontal="left" vertical="center" indent="1"/>
    </xf>
    <xf numFmtId="43" fontId="15" fillId="0" borderId="0" xfId="0" applyNumberFormat="1" applyFont="1" applyAlignment="1" applyProtection="1">
      <alignment horizontal="left" vertical="center" indent="1"/>
      <protection locked="0"/>
    </xf>
    <xf numFmtId="10" fontId="15" fillId="0" borderId="0" xfId="0" applyNumberFormat="1" applyFont="1" applyAlignment="1" applyProtection="1">
      <alignment horizontal="left" vertical="center" indent="1"/>
      <protection locked="0"/>
    </xf>
    <xf numFmtId="49" fontId="16" fillId="0" borderId="0" xfId="0" applyNumberFormat="1" applyFont="1">
      <alignment vertical="top"/>
    </xf>
    <xf numFmtId="2" fontId="1" fillId="4" borderId="0" xfId="0" applyNumberFormat="1" applyFont="1" applyFill="1" applyProtection="1">
      <alignment vertical="top"/>
      <protection locked="0"/>
    </xf>
    <xf numFmtId="43" fontId="1" fillId="3" borderId="0" xfId="0" applyNumberFormat="1" applyFont="1" applyFill="1" applyProtection="1">
      <alignment vertical="top"/>
      <protection locked="0"/>
    </xf>
    <xf numFmtId="10" fontId="1" fillId="8" borderId="0" xfId="0" applyNumberFormat="1" applyFont="1" applyFill="1" applyProtection="1">
      <alignment vertical="top"/>
      <protection locked="0"/>
    </xf>
    <xf numFmtId="49" fontId="5" fillId="0" borderId="0" xfId="0" applyNumberFormat="1" applyFont="1">
      <alignment vertical="top"/>
    </xf>
    <xf numFmtId="0" fontId="7" fillId="0" borderId="0" xfId="0" applyFont="1" applyAlignment="1">
      <alignment vertical="center" wrapText="1"/>
    </xf>
    <xf numFmtId="43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wrapText="1" indent="1"/>
    </xf>
    <xf numFmtId="49" fontId="2" fillId="0" borderId="0" xfId="0" applyNumberFormat="1" applyFont="1" applyAlignment="1">
      <alignment horizontal="center" vertical="center" wrapText="1" indent="1"/>
    </xf>
    <xf numFmtId="43" fontId="2" fillId="2" borderId="39" xfId="0" applyNumberFormat="1" applyFont="1" applyFill="1" applyBorder="1" applyAlignment="1">
      <alignment horizontal="center" vertical="center" wrapText="1" indent="1"/>
    </xf>
    <xf numFmtId="43" fontId="2" fillId="2" borderId="17" xfId="0" applyNumberFormat="1" applyFont="1" applyFill="1" applyBorder="1" applyAlignment="1">
      <alignment horizontal="center" vertical="center" wrapText="1" indent="1"/>
    </xf>
    <xf numFmtId="43" fontId="2" fillId="0" borderId="17" xfId="0" applyNumberFormat="1" applyFont="1" applyBorder="1" applyAlignment="1">
      <alignment horizontal="center" vertical="center" wrapText="1" indent="1"/>
    </xf>
    <xf numFmtId="43" fontId="2" fillId="3" borderId="17" xfId="0" applyNumberFormat="1" applyFont="1" applyFill="1" applyBorder="1" applyAlignment="1" applyProtection="1">
      <alignment horizontal="center" vertical="center" wrapText="1" indent="1"/>
      <protection locked="0"/>
    </xf>
    <xf numFmtId="10" fontId="2" fillId="0" borderId="17" xfId="0" applyNumberFormat="1" applyFont="1" applyBorder="1" applyAlignment="1">
      <alignment horizontal="center" vertical="center" wrapText="1" indent="1"/>
    </xf>
    <xf numFmtId="43" fontId="2" fillId="0" borderId="40" xfId="0" applyNumberFormat="1" applyFont="1" applyBorder="1" applyAlignment="1">
      <alignment horizontal="center" vertical="center" wrapText="1" indent="1"/>
    </xf>
    <xf numFmtId="10" fontId="5" fillId="0" borderId="41" xfId="0" applyNumberFormat="1" applyFont="1" applyBorder="1" applyAlignment="1">
      <alignment horizontal="center" vertical="center" indent="1"/>
    </xf>
    <xf numFmtId="0" fontId="5" fillId="0" borderId="0" xfId="0" applyFont="1" applyAlignment="1">
      <alignment horizontal="left" vertical="top" indent="1"/>
    </xf>
    <xf numFmtId="2" fontId="1" fillId="0" borderId="0" xfId="0" applyNumberFormat="1" applyFont="1" applyProtection="1">
      <alignment vertical="top"/>
      <protection locked="0"/>
    </xf>
    <xf numFmtId="43" fontId="5" fillId="0" borderId="0" xfId="0" applyNumberFormat="1" applyFont="1">
      <alignment vertical="top"/>
    </xf>
    <xf numFmtId="2" fontId="5" fillId="0" borderId="0" xfId="0" applyNumberFormat="1" applyFont="1" applyProtection="1">
      <alignment vertical="top"/>
      <protection locked="0"/>
    </xf>
    <xf numFmtId="0" fontId="14" fillId="7" borderId="0" xfId="0" applyFont="1" applyFill="1" applyAlignment="1">
      <alignment vertical="top" wrapText="1"/>
    </xf>
    <xf numFmtId="0" fontId="14" fillId="7" borderId="0" xfId="0" applyFont="1" applyFill="1" applyAlignment="1" applyProtection="1">
      <alignment vertical="top" wrapText="1"/>
      <protection locked="0"/>
    </xf>
    <xf numFmtId="166" fontId="1" fillId="0" borderId="0" xfId="0" applyNumberFormat="1" applyFont="1">
      <alignment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Protection="1">
      <alignment vertical="top"/>
      <protection locked="0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>
      <alignment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>
      <alignment vertical="top"/>
    </xf>
    <xf numFmtId="0" fontId="1" fillId="0" borderId="18" xfId="0" applyFont="1" applyBorder="1">
      <alignment vertical="top"/>
    </xf>
    <xf numFmtId="0" fontId="1" fillId="0" borderId="19" xfId="0" applyFont="1" applyBorder="1">
      <alignment vertical="top"/>
    </xf>
    <xf numFmtId="0" fontId="1" fillId="6" borderId="21" xfId="0" applyFont="1" applyFill="1" applyBorder="1" applyAlignment="1">
      <alignment horizontal="center" vertical="top"/>
    </xf>
    <xf numFmtId="0" fontId="1" fillId="6" borderId="22" xfId="0" applyFont="1" applyFill="1" applyBorder="1">
      <alignment vertical="top"/>
    </xf>
    <xf numFmtId="0" fontId="5" fillId="3" borderId="1" xfId="0" applyFont="1" applyFill="1" applyBorder="1" applyAlignment="1">
      <alignment horizontal="left" vertical="top"/>
    </xf>
    <xf numFmtId="43" fontId="1" fillId="0" borderId="30" xfId="0" applyNumberFormat="1" applyFont="1" applyBorder="1" applyAlignment="1">
      <alignment horizontal="left" vertical="top"/>
    </xf>
    <xf numFmtId="43" fontId="1" fillId="0" borderId="31" xfId="0" applyNumberFormat="1" applyFont="1" applyBorder="1" applyAlignment="1">
      <alignment horizontal="left" vertical="top"/>
    </xf>
    <xf numFmtId="0" fontId="18" fillId="0" borderId="0" xfId="0" applyFont="1">
      <alignment vertical="top"/>
    </xf>
    <xf numFmtId="0" fontId="19" fillId="0" borderId="0" xfId="0" applyFont="1">
      <alignment vertical="top"/>
    </xf>
    <xf numFmtId="0" fontId="20" fillId="0" borderId="0" xfId="0" applyFont="1">
      <alignment vertical="top"/>
    </xf>
    <xf numFmtId="0" fontId="2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lang="en-US"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Labor Performance Factor</a:t>
            </a:r>
            <a:endParaRPr lang="en-US"/>
          </a:p>
        </c:rich>
      </c:tx>
      <c:overlay val="0"/>
      <c:spPr>
        <a:xfrm>
          <a:off x="0" y="0"/>
          <a:ext cx="0" cy="0"/>
        </a:xfrm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Labor Performance Factor</c:v>
          </c:tx>
          <c:spPr>
            <a:xfrm>
              <a:off x="0" y="0"/>
              <a:ext cx="0" cy="0"/>
            </a:xfrm>
            <a:ln w="1905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'Labor Performance'!$C$3:$C$14</c:f>
              <c:numCache>
                <c:formatCode>General</c:formatCode>
                <c:ptCount val="12"/>
              </c:numCache>
            </c:numRef>
          </c:cat>
          <c:val>
            <c:numRef>
              <c:f>'Labor Performance'!$D$3:$D$14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3-664C-9B21-1E9A9C29769E}"/>
            </c:ext>
          </c:extLst>
        </c:ser>
        <c:ser>
          <c:idx val="1"/>
          <c:order val="1"/>
          <c:tx>
            <c:v>Labor Performance Factor Cost</c:v>
          </c:tx>
          <c:spPr>
            <a:xfrm>
              <a:off x="0" y="0"/>
              <a:ext cx="0" cy="0"/>
            </a:xfrm>
            <a:ln w="1905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'Labor Performance'!$C$3:$C$14</c:f>
              <c:numCache>
                <c:formatCode>General</c:formatCode>
                <c:ptCount val="12"/>
              </c:numCache>
            </c:numRef>
          </c:cat>
          <c:val>
            <c:numRef>
              <c:f>'Labor Performance'!$E$3:$E$14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3-664C-9B21-1E9A9C29769E}"/>
            </c:ext>
          </c:extLst>
        </c:ser>
        <c:ser>
          <c:idx val="2"/>
          <c:order val="2"/>
          <c:tx>
            <c:v>Bid Day Performance Factor</c:v>
          </c:tx>
          <c:spPr>
            <a:xfrm>
              <a:off x="0" y="0"/>
              <a:ext cx="0" cy="0"/>
            </a:xfrm>
            <a:ln w="19050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'Labor Performance'!$C$3:$C$14</c:f>
              <c:numCache>
                <c:formatCode>General</c:formatCode>
                <c:ptCount val="12"/>
              </c:numCache>
            </c:numRef>
          </c:cat>
          <c:val>
            <c:numRef>
              <c:f>'Labor Performance'!$F$3:$F$14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3-664C-9B21-1E9A9C297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42265"/>
        <c:axId val="23193812"/>
      </c:lineChart>
      <c:catAx>
        <c:axId val="3704226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xfrm>
            <a:off x="0" y="0"/>
            <a:ext cx="0" cy="0"/>
          </a:xfrm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3193812"/>
        <c:crosses val="autoZero"/>
        <c:auto val="1"/>
        <c:lblAlgn val="ctr"/>
        <c:lblOffset val="0"/>
        <c:tickMarkSkip val="1"/>
        <c:noMultiLvlLbl val="1"/>
      </c:catAx>
      <c:valAx>
        <c:axId val="23193812"/>
        <c:scaling>
          <c:orientation val="minMax"/>
          <c:max val="2"/>
          <c:min val="0"/>
        </c:scaling>
        <c:delete val="0"/>
        <c:axPos val="l"/>
        <c:majorGridlines>
          <c:spPr>
            <a:xfrm>
              <a:off x="0" y="0"/>
              <a:ext cx="0" cy="0"/>
            </a:xfrm>
            <a:ln w="9525">
              <a:solidFill>
                <a:srgbClr val="D9D9D9"/>
              </a:solidFill>
            </a:ln>
            <a:effectLst/>
          </c:spPr>
        </c:majorGridlines>
        <c:numFmt formatCode="#,##0.00;[Red]\(#,##0.00\);&quot;-&quot;" sourceLinked="0"/>
        <c:majorTickMark val="none"/>
        <c:minorTickMark val="none"/>
        <c:tickLblPos val="nextTo"/>
        <c:spPr>
          <a:xfrm>
            <a:off x="0" y="0"/>
            <a:ext cx="0" cy="0"/>
          </a:xfrm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7042265"/>
        <c:crosses val="autoZero"/>
        <c:crossBetween val="between"/>
        <c:majorUnit val="0.2"/>
        <c:minorUnit val="0.04"/>
      </c:valAx>
      <c:spPr>
        <a:xfrm>
          <a:off x="0" y="0"/>
          <a:ext cx="0" cy="0"/>
        </a:xfrm>
        <a:noFill/>
        <a:ln>
          <a:noFill/>
        </a:ln>
      </c:spPr>
    </c:plotArea>
    <c:legend>
      <c:legendPos val="b"/>
      <c:overlay val="0"/>
      <c:spPr>
        <a:xfrm>
          <a:off x="0" y="0"/>
          <a:ext cx="0" cy="0"/>
        </a:xfrm>
        <a:noFill/>
        <a:ln>
          <a:noFill/>
        </a:ln>
      </c:spPr>
      <c:txPr>
        <a:bodyPr/>
        <a:lstStyle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39</xdr:row>
      <xdr:rowOff>23813</xdr:rowOff>
    </xdr:from>
    <xdr:to>
      <xdr:col>21</xdr:col>
      <xdr:colOff>35719</xdr:colOff>
      <xdr:row>53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F28:O528">
  <autoFilter ref="F28:O528" xr:uid="{00000000-0009-0000-0100-000002000000}"/>
  <tableColumns count="10">
    <tableColumn id="1" xr3:uid="{00000000-0010-0000-0100-000001000000}" name="Week ending:"/>
    <tableColumn id="2" xr3:uid="{00000000-0010-0000-0100-000002000000}" name="Actual Manpower"/>
    <tableColumn id="3" xr3:uid="{00000000-0010-0000-0100-000003000000}" name="Estimated Manpower"/>
    <tableColumn id="4" xr3:uid="{00000000-0010-0000-0100-000004000000}" name="Hours/Day"/>
    <tableColumn id="5" xr3:uid="{00000000-0010-0000-0100-000005000000}" name="Days/Week"/>
    <tableColumn id="6" xr3:uid="{00000000-0010-0000-0100-000006000000}" name="Total Hours"/>
    <tableColumn id="7" xr3:uid="{00000000-0010-0000-0100-000007000000}" name="Composite Rate"/>
    <tableColumn id="8" xr3:uid="{00000000-0010-0000-0100-000008000000}" name="L&amp;B Rate"/>
    <tableColumn id="9" xr3:uid="{00000000-0010-0000-0100-000009000000}" name="Avg Composite Rate"/>
    <tableColumn id="10" xr3:uid="{00000000-0010-0000-0100-00000A000000}" name="Avg L&amp;B R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borProj" displayName="LaborProj" ref="B11:X47">
  <autoFilter ref="B11:X47" xr:uid="{00000000-0009-0000-0100-000003000000}"/>
  <tableColumns count="23">
    <tableColumn id="1" xr3:uid="{00000000-0010-0000-0200-000001000000}" name="Phase"/>
    <tableColumn id="2" xr3:uid="{00000000-0010-0000-0200-000002000000}" name="Cost Type"/>
    <tableColumn id="3" xr3:uid="{00000000-0010-0000-0200-000003000000}" name="Original Hours Estimate"/>
    <tableColumn id="4" xr3:uid="{00000000-0010-0000-0200-000004000000}" name="Change Order Hours Estimate"/>
    <tableColumn id="5" xr3:uid="{00000000-0010-0000-0200-000005000000}" name="Current Labor Hours Estimate"/>
    <tableColumn id="6" xr3:uid="{00000000-0010-0000-0200-000006000000}" name="JTD Hours"/>
    <tableColumn id="7" xr3:uid="{00000000-0010-0000-0200-000007000000}" name="Est. % Complete"/>
    <tableColumn id="8" xr3:uid="{00000000-0010-0000-0200-000008000000}" name="Base Hrs to Complete"/>
    <tableColumn id="9" xr3:uid="{00000000-0010-0000-0200-000009000000}" name="Productivity Factor"/>
    <tableColumn id="10" xr3:uid="{00000000-0010-0000-0200-00000A000000}" name="Productivity Hours"/>
    <tableColumn id="11" xr3:uid="{00000000-0010-0000-0200-00000B000000}" name="Projected Hrs to Complete"/>
    <tableColumn id="12" xr3:uid="{00000000-0010-0000-0200-00000C000000}" name="Total Hrs"/>
    <tableColumn id="13" xr3:uid="{00000000-0010-0000-0200-00000D000000}" name="(Under) / Over "/>
    <tableColumn id="14" xr3:uid="{00000000-0010-0000-0200-00000E000000}" name=" Original Labor Dollar Est. "/>
    <tableColumn id="15" xr3:uid="{00000000-0010-0000-0200-00000F000000}" name=" Change Order Labor Dollar Est. "/>
    <tableColumn id="16" xr3:uid="{00000000-0010-0000-0200-000010000000}" name=" Current Labor Dollar Estimate "/>
    <tableColumn id="17" xr3:uid="{00000000-0010-0000-0200-000011000000}" name=" JTD Labor Cost "/>
    <tableColumn id="18" xr3:uid="{00000000-0010-0000-0200-000012000000}" name=" Est Labor to Complete"/>
    <tableColumn id="19" xr3:uid="{00000000-0010-0000-0200-000013000000}" name=" Est. Total Labor "/>
    <tableColumn id="20" xr3:uid="{00000000-0010-0000-0200-000014000000}" name="(Under) / Over  "/>
    <tableColumn id="21" xr3:uid="{00000000-0010-0000-0200-000015000000}" name=" Est. $/Hour "/>
    <tableColumn id="22" xr3:uid="{00000000-0010-0000-0200-000016000000}" name=" JTD $/ Hr "/>
    <tableColumn id="23" xr3:uid="{00000000-0010-0000-0200-000017000000}" name="(Under) / Over   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TPLH" displayName="NTPLH" ref="B51:X52">
  <autoFilter ref="B51:X52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0000000-0010-0000-0300-000001000000}" name="ABC"/>
    <tableColumn id="2" xr3:uid="{00000000-0010-0000-0300-000002000000}" name="Pseudo Cost Type"/>
    <tableColumn id="3" xr3:uid="{00000000-0010-0000-0300-000003000000}" name="Original Hours Estimate"/>
    <tableColumn id="4" xr3:uid="{00000000-0010-0000-0300-000004000000}" name="Change Order Hours Estimate"/>
    <tableColumn id="5" xr3:uid="{00000000-0010-0000-0300-000005000000}" name="Current Labor Hours Estimate"/>
    <tableColumn id="6" xr3:uid="{00000000-0010-0000-0300-000006000000}" name="JTD Hours"/>
    <tableColumn id="7" xr3:uid="{00000000-0010-0000-0300-000007000000}" name="Est. % Complete"/>
    <tableColumn id="8" xr3:uid="{00000000-0010-0000-0300-000008000000}" name="Base Hrs to Complete"/>
    <tableColumn id="9" xr3:uid="{00000000-0010-0000-0300-000009000000}" name="Productivity Factor"/>
    <tableColumn id="10" xr3:uid="{00000000-0010-0000-0300-00000A000000}" name="Productivity Hours"/>
    <tableColumn id="11" xr3:uid="{00000000-0010-0000-0300-00000B000000}" name="Projected Hrs to Complete"/>
    <tableColumn id="12" xr3:uid="{00000000-0010-0000-0300-00000C000000}" name="Total Hrs"/>
    <tableColumn id="13" xr3:uid="{00000000-0010-0000-0300-00000D000000}" name="(Under) / Over"/>
    <tableColumn id="14" xr3:uid="{00000000-0010-0000-0300-00000E000000}" name="Original Labor Dollar Est."/>
    <tableColumn id="15" xr3:uid="{00000000-0010-0000-0300-00000F000000}" name="Change Order Labor Dollar Est."/>
    <tableColumn id="16" xr3:uid="{00000000-0010-0000-0300-000010000000}" name=" Current Labor Dollar Estimate "/>
    <tableColumn id="17" xr3:uid="{00000000-0010-0000-0300-000011000000}" name=" JTD Labor Cost "/>
    <tableColumn id="18" xr3:uid="{00000000-0010-0000-0300-000012000000}" name=" Est Labor to Complete"/>
    <tableColumn id="19" xr3:uid="{00000000-0010-0000-0300-000013000000}" name=" Est. Total Labor "/>
    <tableColumn id="20" xr3:uid="{00000000-0010-0000-0300-000014000000}" name="(Under)/Over"/>
    <tableColumn id="21" xr3:uid="{00000000-0010-0000-0300-000015000000}" name="Est. $/Hour"/>
    <tableColumn id="22" xr3:uid="{00000000-0010-0000-0300-000016000000}" name="JTD $/ Hr"/>
    <tableColumn id="23" xr3:uid="{00000000-0010-0000-0300-000017000000}" name="(Under) / Over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D11:D116">
  <autoFilter ref="D11:D116" xr:uid="{00000000-0009-0000-0100-000005000000}"/>
  <tableColumns count="1">
    <tableColumn id="1" xr3:uid="{00000000-0010-0000-0400-000001000000}" name="Pha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4811-05B9-634D-92E8-C126803160A0}">
  <dimension ref="A1:A593"/>
  <sheetViews>
    <sheetView tabSelected="1" workbookViewId="0">
      <selection activeCell="O29" sqref="O29"/>
    </sheetView>
  </sheetViews>
  <sheetFormatPr baseColWidth="10" defaultRowHeight="15"/>
  <sheetData>
    <row r="1" spans="1:1" ht="16">
      <c r="A1" s="160" t="s">
        <v>326</v>
      </c>
    </row>
    <row r="2" spans="1:1" ht="16">
      <c r="A2" s="161" t="s">
        <v>327</v>
      </c>
    </row>
    <row r="3" spans="1:1" ht="16">
      <c r="A3" s="160" t="s">
        <v>328</v>
      </c>
    </row>
    <row r="4" spans="1:1" ht="16">
      <c r="A4" s="161" t="s">
        <v>329</v>
      </c>
    </row>
    <row r="5" spans="1:1" ht="16">
      <c r="A5" s="161" t="s">
        <v>330</v>
      </c>
    </row>
    <row r="6" spans="1:1" ht="16">
      <c r="A6" s="161" t="s">
        <v>331</v>
      </c>
    </row>
    <row r="7" spans="1:1" ht="16">
      <c r="A7" s="161" t="s">
        <v>332</v>
      </c>
    </row>
    <row r="8" spans="1:1" ht="16">
      <c r="A8" s="161" t="s">
        <v>333</v>
      </c>
    </row>
    <row r="9" spans="1:1" ht="16">
      <c r="A9" s="161" t="s">
        <v>334</v>
      </c>
    </row>
    <row r="10" spans="1:1" ht="16">
      <c r="A10" s="161" t="s">
        <v>335</v>
      </c>
    </row>
    <row r="11" spans="1:1" ht="16">
      <c r="A11" s="161" t="s">
        <v>336</v>
      </c>
    </row>
    <row r="12" spans="1:1" ht="16">
      <c r="A12" s="160" t="s">
        <v>337</v>
      </c>
    </row>
    <row r="13" spans="1:1" ht="16">
      <c r="A13" s="161" t="s">
        <v>338</v>
      </c>
    </row>
    <row r="14" spans="1:1" ht="16">
      <c r="A14" s="160" t="s">
        <v>339</v>
      </c>
    </row>
    <row r="15" spans="1:1" ht="16">
      <c r="A15" s="160" t="s">
        <v>340</v>
      </c>
    </row>
    <row r="16" spans="1:1" ht="16">
      <c r="A16" s="161" t="s">
        <v>341</v>
      </c>
    </row>
    <row r="17" spans="1:1" ht="16">
      <c r="A17" s="161" t="s">
        <v>342</v>
      </c>
    </row>
    <row r="18" spans="1:1" ht="16">
      <c r="A18" s="161" t="s">
        <v>343</v>
      </c>
    </row>
    <row r="19" spans="1:1" ht="16">
      <c r="A19" s="162" t="s">
        <v>344</v>
      </c>
    </row>
    <row r="20" spans="1:1" ht="16">
      <c r="A20" s="161" t="s">
        <v>345</v>
      </c>
    </row>
    <row r="21" spans="1:1" ht="16">
      <c r="A21" s="160" t="s">
        <v>346</v>
      </c>
    </row>
    <row r="22" spans="1:1" ht="16">
      <c r="A22" s="161" t="s">
        <v>329</v>
      </c>
    </row>
    <row r="23" spans="1:1" ht="16">
      <c r="A23" s="161" t="s">
        <v>330</v>
      </c>
    </row>
    <row r="24" spans="1:1" ht="16">
      <c r="A24" s="161" t="s">
        <v>331</v>
      </c>
    </row>
    <row r="25" spans="1:1" ht="16">
      <c r="A25" s="161" t="s">
        <v>332</v>
      </c>
    </row>
    <row r="26" spans="1:1" ht="16">
      <c r="A26" s="161" t="s">
        <v>333</v>
      </c>
    </row>
    <row r="27" spans="1:1" ht="16">
      <c r="A27" s="161" t="s">
        <v>334</v>
      </c>
    </row>
    <row r="28" spans="1:1" ht="16">
      <c r="A28" s="161" t="s">
        <v>335</v>
      </c>
    </row>
    <row r="29" spans="1:1" ht="16">
      <c r="A29" s="161" t="s">
        <v>347</v>
      </c>
    </row>
    <row r="30" spans="1:1" ht="16">
      <c r="A30" s="161" t="s">
        <v>348</v>
      </c>
    </row>
    <row r="31" spans="1:1" ht="16">
      <c r="A31" s="160" t="s">
        <v>337</v>
      </c>
    </row>
    <row r="32" spans="1:1" ht="16">
      <c r="A32" s="161" t="s">
        <v>338</v>
      </c>
    </row>
    <row r="33" spans="1:1" ht="16">
      <c r="A33" s="160" t="s">
        <v>339</v>
      </c>
    </row>
    <row r="34" spans="1:1" ht="16">
      <c r="A34" s="160" t="s">
        <v>340</v>
      </c>
    </row>
    <row r="35" spans="1:1" ht="16">
      <c r="A35" s="161" t="s">
        <v>341</v>
      </c>
    </row>
    <row r="36" spans="1:1" ht="16">
      <c r="A36" s="161" t="s">
        <v>342</v>
      </c>
    </row>
    <row r="37" spans="1:1" ht="16">
      <c r="A37" s="161" t="s">
        <v>343</v>
      </c>
    </row>
    <row r="38" spans="1:1" ht="16">
      <c r="A38" s="162" t="s">
        <v>344</v>
      </c>
    </row>
    <row r="39" spans="1:1" ht="16">
      <c r="A39" s="161" t="s">
        <v>349</v>
      </c>
    </row>
    <row r="40" spans="1:1" ht="16">
      <c r="A40" s="160" t="s">
        <v>346</v>
      </c>
    </row>
    <row r="41" spans="1:1" ht="16">
      <c r="A41" s="161" t="s">
        <v>329</v>
      </c>
    </row>
    <row r="42" spans="1:1" ht="16">
      <c r="A42" s="161" t="s">
        <v>330</v>
      </c>
    </row>
    <row r="43" spans="1:1" ht="16">
      <c r="A43" s="161" t="s">
        <v>331</v>
      </c>
    </row>
    <row r="44" spans="1:1" ht="16">
      <c r="A44" s="161" t="s">
        <v>332</v>
      </c>
    </row>
    <row r="45" spans="1:1" ht="16">
      <c r="A45" s="161" t="s">
        <v>333</v>
      </c>
    </row>
    <row r="46" spans="1:1" ht="16">
      <c r="A46" s="161" t="s">
        <v>334</v>
      </c>
    </row>
    <row r="47" spans="1:1" ht="16">
      <c r="A47" s="161" t="s">
        <v>335</v>
      </c>
    </row>
    <row r="48" spans="1:1" ht="16">
      <c r="A48" s="161" t="s">
        <v>347</v>
      </c>
    </row>
    <row r="49" spans="1:1" ht="16">
      <c r="A49" s="161" t="s">
        <v>350</v>
      </c>
    </row>
    <row r="50" spans="1:1" ht="16">
      <c r="A50" s="160" t="s">
        <v>337</v>
      </c>
    </row>
    <row r="51" spans="1:1" ht="16">
      <c r="A51" s="161" t="s">
        <v>338</v>
      </c>
    </row>
    <row r="52" spans="1:1" ht="16">
      <c r="A52" s="160" t="s">
        <v>339</v>
      </c>
    </row>
    <row r="53" spans="1:1" ht="16">
      <c r="A53" s="160" t="s">
        <v>340</v>
      </c>
    </row>
    <row r="54" spans="1:1" ht="16">
      <c r="A54" s="161" t="s">
        <v>341</v>
      </c>
    </row>
    <row r="55" spans="1:1" ht="16">
      <c r="A55" s="161" t="s">
        <v>342</v>
      </c>
    </row>
    <row r="56" spans="1:1" ht="16">
      <c r="A56" s="161" t="s">
        <v>343</v>
      </c>
    </row>
    <row r="57" spans="1:1" ht="16">
      <c r="A57" s="162" t="s">
        <v>344</v>
      </c>
    </row>
    <row r="58" spans="1:1" ht="16">
      <c r="A58" s="161" t="s">
        <v>351</v>
      </c>
    </row>
    <row r="59" spans="1:1" ht="16">
      <c r="A59" s="160" t="s">
        <v>346</v>
      </c>
    </row>
    <row r="60" spans="1:1" ht="16">
      <c r="A60" s="161" t="s">
        <v>329</v>
      </c>
    </row>
    <row r="61" spans="1:1" ht="16">
      <c r="A61" s="161" t="s">
        <v>330</v>
      </c>
    </row>
    <row r="62" spans="1:1" ht="16">
      <c r="A62" s="161" t="s">
        <v>331</v>
      </c>
    </row>
    <row r="63" spans="1:1" ht="16">
      <c r="A63" s="161" t="s">
        <v>332</v>
      </c>
    </row>
    <row r="64" spans="1:1" ht="16">
      <c r="A64" s="161" t="s">
        <v>333</v>
      </c>
    </row>
    <row r="65" spans="1:1" ht="16">
      <c r="A65" s="161" t="s">
        <v>334</v>
      </c>
    </row>
    <row r="66" spans="1:1" ht="16">
      <c r="A66" s="161" t="s">
        <v>335</v>
      </c>
    </row>
    <row r="67" spans="1:1" ht="16">
      <c r="A67" s="161" t="s">
        <v>347</v>
      </c>
    </row>
    <row r="68" spans="1:1" ht="16">
      <c r="A68" s="161" t="s">
        <v>352</v>
      </c>
    </row>
    <row r="69" spans="1:1" ht="16">
      <c r="A69" s="160" t="s">
        <v>337</v>
      </c>
    </row>
    <row r="70" spans="1:1" ht="16">
      <c r="A70" s="161" t="s">
        <v>338</v>
      </c>
    </row>
    <row r="71" spans="1:1" ht="16">
      <c r="A71" s="160" t="s">
        <v>339</v>
      </c>
    </row>
    <row r="72" spans="1:1" ht="16">
      <c r="A72" s="160" t="s">
        <v>340</v>
      </c>
    </row>
    <row r="73" spans="1:1" ht="16">
      <c r="A73" s="161" t="s">
        <v>341</v>
      </c>
    </row>
    <row r="74" spans="1:1" ht="16">
      <c r="A74" s="161" t="s">
        <v>342</v>
      </c>
    </row>
    <row r="75" spans="1:1" ht="16">
      <c r="A75" s="161" t="s">
        <v>343</v>
      </c>
    </row>
    <row r="76" spans="1:1" ht="16">
      <c r="A76" s="162" t="s">
        <v>344</v>
      </c>
    </row>
    <row r="77" spans="1:1" ht="16">
      <c r="A77" s="161" t="s">
        <v>353</v>
      </c>
    </row>
    <row r="78" spans="1:1" ht="16">
      <c r="A78" s="160" t="s">
        <v>346</v>
      </c>
    </row>
    <row r="79" spans="1:1" ht="16">
      <c r="A79" s="161" t="s">
        <v>329</v>
      </c>
    </row>
    <row r="80" spans="1:1" ht="16">
      <c r="A80" s="161" t="s">
        <v>330</v>
      </c>
    </row>
    <row r="81" spans="1:1" ht="16">
      <c r="A81" s="161" t="s">
        <v>331</v>
      </c>
    </row>
    <row r="82" spans="1:1" ht="16">
      <c r="A82" s="161" t="s">
        <v>332</v>
      </c>
    </row>
    <row r="83" spans="1:1" ht="16">
      <c r="A83" s="161" t="s">
        <v>333</v>
      </c>
    </row>
    <row r="84" spans="1:1" ht="16">
      <c r="A84" s="161" t="s">
        <v>334</v>
      </c>
    </row>
    <row r="85" spans="1:1" ht="16">
      <c r="A85" s="161" t="s">
        <v>335</v>
      </c>
    </row>
    <row r="86" spans="1:1" ht="16">
      <c r="A86" s="161" t="s">
        <v>347</v>
      </c>
    </row>
    <row r="87" spans="1:1" ht="16">
      <c r="A87" s="161" t="s">
        <v>354</v>
      </c>
    </row>
    <row r="88" spans="1:1" ht="16">
      <c r="A88" s="160" t="s">
        <v>337</v>
      </c>
    </row>
    <row r="89" spans="1:1" ht="16">
      <c r="A89" s="161" t="s">
        <v>338</v>
      </c>
    </row>
    <row r="90" spans="1:1" ht="16">
      <c r="A90" s="160" t="s">
        <v>339</v>
      </c>
    </row>
    <row r="91" spans="1:1" ht="16">
      <c r="A91" s="160" t="s">
        <v>340</v>
      </c>
    </row>
    <row r="92" spans="1:1" ht="16">
      <c r="A92" s="161" t="s">
        <v>341</v>
      </c>
    </row>
    <row r="93" spans="1:1" ht="16">
      <c r="A93" s="161" t="s">
        <v>342</v>
      </c>
    </row>
    <row r="94" spans="1:1" ht="16">
      <c r="A94" s="161" t="s">
        <v>343</v>
      </c>
    </row>
    <row r="95" spans="1:1" ht="16">
      <c r="A95" s="162" t="s">
        <v>344</v>
      </c>
    </row>
    <row r="96" spans="1:1" ht="16">
      <c r="A96" s="161" t="s">
        <v>355</v>
      </c>
    </row>
    <row r="97" spans="1:1" ht="16">
      <c r="A97" s="160" t="s">
        <v>346</v>
      </c>
    </row>
    <row r="98" spans="1:1" ht="16">
      <c r="A98" s="161" t="s">
        <v>329</v>
      </c>
    </row>
    <row r="99" spans="1:1" ht="16">
      <c r="A99" s="161" t="s">
        <v>330</v>
      </c>
    </row>
    <row r="100" spans="1:1" ht="16">
      <c r="A100" s="161" t="s">
        <v>331</v>
      </c>
    </row>
    <row r="101" spans="1:1" ht="16">
      <c r="A101" s="161" t="s">
        <v>332</v>
      </c>
    </row>
    <row r="102" spans="1:1" ht="16">
      <c r="A102" s="161" t="s">
        <v>333</v>
      </c>
    </row>
    <row r="103" spans="1:1" ht="16">
      <c r="A103" s="161" t="s">
        <v>334</v>
      </c>
    </row>
    <row r="104" spans="1:1" ht="16">
      <c r="A104" s="161" t="s">
        <v>335</v>
      </c>
    </row>
    <row r="105" spans="1:1" ht="16">
      <c r="A105" s="161" t="s">
        <v>347</v>
      </c>
    </row>
    <row r="106" spans="1:1" ht="16">
      <c r="A106" s="161" t="s">
        <v>356</v>
      </c>
    </row>
    <row r="107" spans="1:1" ht="16">
      <c r="A107" s="160" t="s">
        <v>337</v>
      </c>
    </row>
    <row r="108" spans="1:1" ht="16">
      <c r="A108" s="161" t="s">
        <v>338</v>
      </c>
    </row>
    <row r="109" spans="1:1" ht="16">
      <c r="A109" s="160" t="s">
        <v>339</v>
      </c>
    </row>
    <row r="110" spans="1:1" ht="16">
      <c r="A110" s="160" t="s">
        <v>340</v>
      </c>
    </row>
    <row r="111" spans="1:1" ht="16">
      <c r="A111" s="161" t="s">
        <v>341</v>
      </c>
    </row>
    <row r="112" spans="1:1" ht="16">
      <c r="A112" s="161" t="s">
        <v>342</v>
      </c>
    </row>
    <row r="113" spans="1:1" ht="16">
      <c r="A113" s="161" t="s">
        <v>343</v>
      </c>
    </row>
    <row r="114" spans="1:1" ht="16">
      <c r="A114" s="162" t="s">
        <v>344</v>
      </c>
    </row>
    <row r="115" spans="1:1" ht="16">
      <c r="A115" s="161" t="s">
        <v>357</v>
      </c>
    </row>
    <row r="116" spans="1:1" ht="16">
      <c r="A116" s="160" t="s">
        <v>346</v>
      </c>
    </row>
    <row r="117" spans="1:1" ht="16">
      <c r="A117" s="161" t="s">
        <v>329</v>
      </c>
    </row>
    <row r="118" spans="1:1" ht="16">
      <c r="A118" s="161" t="s">
        <v>330</v>
      </c>
    </row>
    <row r="119" spans="1:1" ht="16">
      <c r="A119" s="161" t="s">
        <v>331</v>
      </c>
    </row>
    <row r="120" spans="1:1" ht="16">
      <c r="A120" s="161" t="s">
        <v>332</v>
      </c>
    </row>
    <row r="121" spans="1:1" ht="16">
      <c r="A121" s="161" t="s">
        <v>333</v>
      </c>
    </row>
    <row r="122" spans="1:1" ht="16">
      <c r="A122" s="161" t="s">
        <v>334</v>
      </c>
    </row>
    <row r="123" spans="1:1" ht="16">
      <c r="A123" s="161" t="s">
        <v>335</v>
      </c>
    </row>
    <row r="124" spans="1:1" ht="16">
      <c r="A124" s="161" t="s">
        <v>347</v>
      </c>
    </row>
    <row r="125" spans="1:1" ht="16">
      <c r="A125" s="160" t="s">
        <v>358</v>
      </c>
    </row>
    <row r="126" spans="1:1" ht="16">
      <c r="A126" s="160" t="s">
        <v>337</v>
      </c>
    </row>
    <row r="127" spans="1:1" ht="16">
      <c r="A127" s="161" t="s">
        <v>338</v>
      </c>
    </row>
    <row r="128" spans="1:1" ht="16">
      <c r="A128" s="160" t="s">
        <v>339</v>
      </c>
    </row>
    <row r="129" spans="1:1" ht="16">
      <c r="A129" s="160" t="s">
        <v>340</v>
      </c>
    </row>
    <row r="130" spans="1:1" ht="16">
      <c r="A130" s="161" t="s">
        <v>341</v>
      </c>
    </row>
    <row r="131" spans="1:1" ht="16">
      <c r="A131" s="161" t="s">
        <v>342</v>
      </c>
    </row>
    <row r="132" spans="1:1" ht="16">
      <c r="A132" s="161" t="s">
        <v>343</v>
      </c>
    </row>
    <row r="133" spans="1:1" ht="16">
      <c r="A133" s="162" t="s">
        <v>344</v>
      </c>
    </row>
    <row r="134" spans="1:1" ht="16">
      <c r="A134" s="161" t="s">
        <v>359</v>
      </c>
    </row>
    <row r="135" spans="1:1" ht="16">
      <c r="A135" s="160" t="s">
        <v>346</v>
      </c>
    </row>
    <row r="136" spans="1:1" ht="16">
      <c r="A136" s="161" t="s">
        <v>329</v>
      </c>
    </row>
    <row r="137" spans="1:1" ht="16">
      <c r="A137" s="161" t="s">
        <v>330</v>
      </c>
    </row>
    <row r="138" spans="1:1" ht="16">
      <c r="A138" s="161" t="s">
        <v>331</v>
      </c>
    </row>
    <row r="139" spans="1:1" ht="16">
      <c r="A139" s="161" t="s">
        <v>332</v>
      </c>
    </row>
    <row r="140" spans="1:1" ht="16">
      <c r="A140" s="161" t="s">
        <v>333</v>
      </c>
    </row>
    <row r="141" spans="1:1" ht="16">
      <c r="A141" s="161" t="s">
        <v>334</v>
      </c>
    </row>
    <row r="142" spans="1:1" ht="16">
      <c r="A142" s="161" t="s">
        <v>335</v>
      </c>
    </row>
    <row r="143" spans="1:1" ht="16">
      <c r="A143" s="161" t="s">
        <v>347</v>
      </c>
    </row>
    <row r="144" spans="1:1" ht="16">
      <c r="A144" s="161" t="s">
        <v>360</v>
      </c>
    </row>
    <row r="145" spans="1:1" ht="16">
      <c r="A145" s="160" t="s">
        <v>337</v>
      </c>
    </row>
    <row r="146" spans="1:1" ht="16">
      <c r="A146" s="161" t="s">
        <v>338</v>
      </c>
    </row>
    <row r="147" spans="1:1" ht="16">
      <c r="A147" s="160" t="s">
        <v>339</v>
      </c>
    </row>
    <row r="148" spans="1:1" ht="16">
      <c r="A148" s="160" t="s">
        <v>340</v>
      </c>
    </row>
    <row r="149" spans="1:1" ht="16">
      <c r="A149" s="161" t="s">
        <v>341</v>
      </c>
    </row>
    <row r="150" spans="1:1" ht="16">
      <c r="A150" s="161" t="s">
        <v>342</v>
      </c>
    </row>
    <row r="151" spans="1:1" ht="16">
      <c r="A151" s="161" t="s">
        <v>343</v>
      </c>
    </row>
    <row r="152" spans="1:1" ht="16">
      <c r="A152" s="162" t="s">
        <v>344</v>
      </c>
    </row>
    <row r="153" spans="1:1" ht="16">
      <c r="A153" s="161" t="s">
        <v>361</v>
      </c>
    </row>
    <row r="154" spans="1:1" ht="16">
      <c r="A154" s="160" t="s">
        <v>346</v>
      </c>
    </row>
    <row r="155" spans="1:1" ht="16">
      <c r="A155" s="161" t="s">
        <v>329</v>
      </c>
    </row>
    <row r="156" spans="1:1" ht="16">
      <c r="A156" s="161" t="s">
        <v>330</v>
      </c>
    </row>
    <row r="157" spans="1:1" ht="16">
      <c r="A157" s="161" t="s">
        <v>331</v>
      </c>
    </row>
    <row r="158" spans="1:1" ht="16">
      <c r="A158" s="161" t="s">
        <v>332</v>
      </c>
    </row>
    <row r="159" spans="1:1" ht="16">
      <c r="A159" s="161" t="s">
        <v>333</v>
      </c>
    </row>
    <row r="160" spans="1:1" ht="16">
      <c r="A160" s="161" t="s">
        <v>334</v>
      </c>
    </row>
    <row r="161" spans="1:1" ht="16">
      <c r="A161" s="161" t="s">
        <v>335</v>
      </c>
    </row>
    <row r="162" spans="1:1" ht="16">
      <c r="A162" s="161" t="s">
        <v>347</v>
      </c>
    </row>
    <row r="163" spans="1:1" ht="16">
      <c r="A163" s="160" t="s">
        <v>362</v>
      </c>
    </row>
    <row r="164" spans="1:1" ht="16">
      <c r="A164" s="160" t="s">
        <v>337</v>
      </c>
    </row>
    <row r="165" spans="1:1" ht="16">
      <c r="A165" s="161" t="s">
        <v>338</v>
      </c>
    </row>
    <row r="166" spans="1:1" ht="16">
      <c r="A166" s="160" t="s">
        <v>339</v>
      </c>
    </row>
    <row r="167" spans="1:1" ht="16">
      <c r="A167" s="160" t="s">
        <v>340</v>
      </c>
    </row>
    <row r="168" spans="1:1" ht="16">
      <c r="A168" s="161" t="s">
        <v>341</v>
      </c>
    </row>
    <row r="169" spans="1:1" ht="16">
      <c r="A169" s="161" t="s">
        <v>342</v>
      </c>
    </row>
    <row r="170" spans="1:1" ht="16">
      <c r="A170" s="161" t="s">
        <v>343</v>
      </c>
    </row>
    <row r="171" spans="1:1" ht="16">
      <c r="A171" s="162" t="s">
        <v>344</v>
      </c>
    </row>
    <row r="172" spans="1:1" ht="16">
      <c r="A172" s="161" t="s">
        <v>363</v>
      </c>
    </row>
    <row r="173" spans="1:1" ht="16">
      <c r="A173" s="160" t="s">
        <v>346</v>
      </c>
    </row>
    <row r="174" spans="1:1" ht="16">
      <c r="A174" s="161" t="s">
        <v>329</v>
      </c>
    </row>
    <row r="175" spans="1:1" ht="16">
      <c r="A175" s="161" t="s">
        <v>330</v>
      </c>
    </row>
    <row r="176" spans="1:1" ht="16">
      <c r="A176" s="161" t="s">
        <v>331</v>
      </c>
    </row>
    <row r="177" spans="1:1" ht="16">
      <c r="A177" s="161" t="s">
        <v>332</v>
      </c>
    </row>
    <row r="178" spans="1:1" ht="16">
      <c r="A178" s="161" t="s">
        <v>333</v>
      </c>
    </row>
    <row r="179" spans="1:1" ht="16">
      <c r="A179" s="161" t="s">
        <v>334</v>
      </c>
    </row>
    <row r="180" spans="1:1" ht="16">
      <c r="A180" s="161" t="s">
        <v>335</v>
      </c>
    </row>
    <row r="181" spans="1:1" ht="16">
      <c r="A181" s="161" t="s">
        <v>347</v>
      </c>
    </row>
    <row r="182" spans="1:1" ht="16">
      <c r="A182" s="161" t="s">
        <v>364</v>
      </c>
    </row>
    <row r="183" spans="1:1" ht="16">
      <c r="A183" s="160" t="s">
        <v>337</v>
      </c>
    </row>
    <row r="184" spans="1:1" ht="16">
      <c r="A184" s="161" t="s">
        <v>338</v>
      </c>
    </row>
    <row r="185" spans="1:1" ht="16">
      <c r="A185" s="160" t="s">
        <v>339</v>
      </c>
    </row>
    <row r="186" spans="1:1" ht="16">
      <c r="A186" s="160" t="s">
        <v>340</v>
      </c>
    </row>
    <row r="187" spans="1:1" ht="16">
      <c r="A187" s="161" t="s">
        <v>341</v>
      </c>
    </row>
    <row r="188" spans="1:1" ht="16">
      <c r="A188" s="161" t="s">
        <v>342</v>
      </c>
    </row>
    <row r="189" spans="1:1" ht="16">
      <c r="A189" s="161" t="s">
        <v>343</v>
      </c>
    </row>
    <row r="190" spans="1:1" ht="16">
      <c r="A190" s="162" t="s">
        <v>344</v>
      </c>
    </row>
    <row r="191" spans="1:1" ht="16">
      <c r="A191" s="161" t="s">
        <v>365</v>
      </c>
    </row>
    <row r="192" spans="1:1" ht="16">
      <c r="A192" s="160" t="s">
        <v>346</v>
      </c>
    </row>
    <row r="193" spans="1:1" ht="16">
      <c r="A193" s="161" t="s">
        <v>329</v>
      </c>
    </row>
    <row r="194" spans="1:1" ht="16">
      <c r="A194" s="161" t="s">
        <v>330</v>
      </c>
    </row>
    <row r="195" spans="1:1" ht="16">
      <c r="A195" s="161" t="s">
        <v>331</v>
      </c>
    </row>
    <row r="196" spans="1:1" ht="16">
      <c r="A196" s="161" t="s">
        <v>366</v>
      </c>
    </row>
    <row r="197" spans="1:1" ht="16">
      <c r="A197" s="160" t="s">
        <v>337</v>
      </c>
    </row>
    <row r="198" spans="1:1" ht="16">
      <c r="A198" s="161" t="s">
        <v>367</v>
      </c>
    </row>
    <row r="199" spans="1:1" ht="16">
      <c r="A199" s="160" t="s">
        <v>339</v>
      </c>
    </row>
    <row r="200" spans="1:1" ht="16">
      <c r="A200" s="160" t="s">
        <v>340</v>
      </c>
    </row>
    <row r="201" spans="1:1" ht="16">
      <c r="A201" s="161" t="s">
        <v>341</v>
      </c>
    </row>
    <row r="202" spans="1:1" ht="16">
      <c r="A202" s="161" t="s">
        <v>368</v>
      </c>
    </row>
    <row r="203" spans="1:1" ht="16">
      <c r="A203" s="162" t="s">
        <v>344</v>
      </c>
    </row>
    <row r="204" spans="1:1" ht="16">
      <c r="A204" s="161" t="s">
        <v>369</v>
      </c>
    </row>
    <row r="205" spans="1:1" ht="16">
      <c r="A205" s="160" t="s">
        <v>346</v>
      </c>
    </row>
    <row r="206" spans="1:1" ht="16">
      <c r="A206" s="161" t="s">
        <v>329</v>
      </c>
    </row>
    <row r="207" spans="1:1" ht="16">
      <c r="A207" s="161" t="s">
        <v>330</v>
      </c>
    </row>
    <row r="208" spans="1:1" ht="16">
      <c r="A208" s="161" t="s">
        <v>331</v>
      </c>
    </row>
    <row r="209" spans="1:1" ht="16">
      <c r="A209" s="161" t="s">
        <v>332</v>
      </c>
    </row>
    <row r="210" spans="1:1" ht="16">
      <c r="A210" s="162" t="s">
        <v>370</v>
      </c>
    </row>
    <row r="211" spans="1:1" ht="16">
      <c r="A211" s="160" t="s">
        <v>371</v>
      </c>
    </row>
    <row r="212" spans="1:1" ht="16">
      <c r="A212" s="160" t="s">
        <v>337</v>
      </c>
    </row>
    <row r="213" spans="1:1" ht="16">
      <c r="A213" s="161" t="s">
        <v>367</v>
      </c>
    </row>
    <row r="214" spans="1:1" ht="16">
      <c r="A214" s="160" t="s">
        <v>339</v>
      </c>
    </row>
    <row r="215" spans="1:1" ht="16">
      <c r="A215" s="160" t="s">
        <v>340</v>
      </c>
    </row>
    <row r="216" spans="1:1" ht="16">
      <c r="A216" s="161" t="s">
        <v>341</v>
      </c>
    </row>
    <row r="217" spans="1:1" ht="16">
      <c r="A217" s="161" t="s">
        <v>368</v>
      </c>
    </row>
    <row r="218" spans="1:1" ht="16">
      <c r="A218" s="162" t="s">
        <v>344</v>
      </c>
    </row>
    <row r="219" spans="1:1" ht="16">
      <c r="A219" s="161" t="s">
        <v>372</v>
      </c>
    </row>
    <row r="220" spans="1:1" ht="16">
      <c r="A220" s="160" t="s">
        <v>346</v>
      </c>
    </row>
    <row r="221" spans="1:1" ht="16">
      <c r="A221" s="161" t="s">
        <v>329</v>
      </c>
    </row>
    <row r="222" spans="1:1" ht="16">
      <c r="A222" s="161" t="s">
        <v>330</v>
      </c>
    </row>
    <row r="223" spans="1:1" ht="16">
      <c r="A223" s="161" t="s">
        <v>331</v>
      </c>
    </row>
    <row r="224" spans="1:1" ht="16">
      <c r="A224" s="161" t="s">
        <v>366</v>
      </c>
    </row>
    <row r="225" spans="1:1" ht="16">
      <c r="A225" s="160" t="s">
        <v>337</v>
      </c>
    </row>
    <row r="226" spans="1:1" ht="16">
      <c r="A226" s="161" t="s">
        <v>541</v>
      </c>
    </row>
    <row r="227" spans="1:1" ht="16">
      <c r="A227" s="160" t="s">
        <v>339</v>
      </c>
    </row>
    <row r="228" spans="1:1" ht="16">
      <c r="A228" s="160" t="s">
        <v>340</v>
      </c>
    </row>
    <row r="229" spans="1:1" ht="16">
      <c r="A229" s="161" t="s">
        <v>341</v>
      </c>
    </row>
    <row r="230" spans="1:1" ht="16">
      <c r="A230" s="161" t="s">
        <v>368</v>
      </c>
    </row>
    <row r="231" spans="1:1" ht="16">
      <c r="A231" s="162" t="s">
        <v>344</v>
      </c>
    </row>
    <row r="232" spans="1:1" ht="16">
      <c r="A232" s="161" t="s">
        <v>373</v>
      </c>
    </row>
    <row r="233" spans="1:1" ht="16">
      <c r="A233" s="160" t="s">
        <v>346</v>
      </c>
    </row>
    <row r="234" spans="1:1" ht="16">
      <c r="A234" s="161" t="s">
        <v>329</v>
      </c>
    </row>
    <row r="235" spans="1:1" ht="16">
      <c r="A235" s="161" t="s">
        <v>330</v>
      </c>
    </row>
    <row r="236" spans="1:1" ht="16">
      <c r="A236" s="161" t="s">
        <v>331</v>
      </c>
    </row>
    <row r="237" spans="1:1" ht="16">
      <c r="A237" s="161" t="s">
        <v>332</v>
      </c>
    </row>
    <row r="238" spans="1:1" ht="16">
      <c r="A238" s="160" t="s">
        <v>374</v>
      </c>
    </row>
    <row r="239" spans="1:1" ht="16">
      <c r="A239" s="160" t="s">
        <v>337</v>
      </c>
    </row>
    <row r="240" spans="1:1" ht="16">
      <c r="A240" s="161" t="s">
        <v>541</v>
      </c>
    </row>
    <row r="241" spans="1:1" ht="16">
      <c r="A241" s="160" t="s">
        <v>339</v>
      </c>
    </row>
    <row r="242" spans="1:1" ht="16">
      <c r="A242" s="160" t="s">
        <v>340</v>
      </c>
    </row>
    <row r="243" spans="1:1" ht="16">
      <c r="A243" s="161" t="s">
        <v>341</v>
      </c>
    </row>
    <row r="244" spans="1:1" ht="16">
      <c r="A244" s="161" t="s">
        <v>368</v>
      </c>
    </row>
    <row r="245" spans="1:1" ht="16">
      <c r="A245" s="162" t="s">
        <v>344</v>
      </c>
    </row>
    <row r="246" spans="1:1" ht="16">
      <c r="A246" s="161" t="s">
        <v>375</v>
      </c>
    </row>
    <row r="247" spans="1:1" ht="16">
      <c r="A247" s="160" t="s">
        <v>346</v>
      </c>
    </row>
    <row r="248" spans="1:1" ht="16">
      <c r="A248" s="161" t="s">
        <v>329</v>
      </c>
    </row>
    <row r="249" spans="1:1" ht="16">
      <c r="A249" s="161" t="s">
        <v>330</v>
      </c>
    </row>
    <row r="250" spans="1:1" ht="16">
      <c r="A250" s="161" t="s">
        <v>331</v>
      </c>
    </row>
    <row r="251" spans="1:1" ht="16">
      <c r="A251" s="161" t="s">
        <v>332</v>
      </c>
    </row>
    <row r="252" spans="1:1" ht="16">
      <c r="A252" s="160" t="s">
        <v>376</v>
      </c>
    </row>
    <row r="253" spans="1:1" ht="16">
      <c r="A253" s="160" t="s">
        <v>337</v>
      </c>
    </row>
    <row r="254" spans="1:1" ht="16">
      <c r="A254" s="161" t="s">
        <v>541</v>
      </c>
    </row>
    <row r="255" spans="1:1" ht="16">
      <c r="A255" s="160" t="s">
        <v>339</v>
      </c>
    </row>
    <row r="256" spans="1:1" ht="16">
      <c r="A256" s="160" t="s">
        <v>340</v>
      </c>
    </row>
    <row r="257" spans="1:1" ht="16">
      <c r="A257" s="161" t="s">
        <v>341</v>
      </c>
    </row>
    <row r="258" spans="1:1" ht="16">
      <c r="A258" s="161" t="s">
        <v>368</v>
      </c>
    </row>
    <row r="259" spans="1:1" ht="16">
      <c r="A259" s="162" t="s">
        <v>344</v>
      </c>
    </row>
    <row r="260" spans="1:1" ht="16">
      <c r="A260" s="161" t="s">
        <v>377</v>
      </c>
    </row>
    <row r="261" spans="1:1" ht="16">
      <c r="A261" s="160" t="s">
        <v>346</v>
      </c>
    </row>
    <row r="262" spans="1:1" ht="16">
      <c r="A262" s="161" t="s">
        <v>329</v>
      </c>
    </row>
    <row r="263" spans="1:1" ht="16">
      <c r="A263" s="161" t="s">
        <v>330</v>
      </c>
    </row>
    <row r="264" spans="1:1" ht="16">
      <c r="A264" s="161" t="s">
        <v>331</v>
      </c>
    </row>
    <row r="265" spans="1:1" ht="16">
      <c r="A265" s="161" t="s">
        <v>332</v>
      </c>
    </row>
    <row r="266" spans="1:1" ht="16">
      <c r="A266" s="160" t="s">
        <v>378</v>
      </c>
    </row>
    <row r="267" spans="1:1" ht="16">
      <c r="A267" s="160" t="s">
        <v>337</v>
      </c>
    </row>
    <row r="268" spans="1:1" ht="16">
      <c r="A268" s="161" t="s">
        <v>541</v>
      </c>
    </row>
    <row r="269" spans="1:1" ht="16">
      <c r="A269" s="160" t="s">
        <v>339</v>
      </c>
    </row>
    <row r="270" spans="1:1" ht="16">
      <c r="A270" s="160" t="s">
        <v>340</v>
      </c>
    </row>
    <row r="271" spans="1:1" ht="16">
      <c r="A271" s="161" t="s">
        <v>341</v>
      </c>
    </row>
    <row r="272" spans="1:1" ht="16">
      <c r="A272" s="161" t="s">
        <v>368</v>
      </c>
    </row>
    <row r="273" spans="1:1" ht="16">
      <c r="A273" s="162" t="s">
        <v>344</v>
      </c>
    </row>
    <row r="274" spans="1:1" ht="16">
      <c r="A274" s="161" t="s">
        <v>379</v>
      </c>
    </row>
    <row r="275" spans="1:1" ht="16">
      <c r="A275" s="160" t="s">
        <v>346</v>
      </c>
    </row>
    <row r="276" spans="1:1" ht="16">
      <c r="A276" s="161" t="s">
        <v>329</v>
      </c>
    </row>
    <row r="277" spans="1:1" ht="16">
      <c r="A277" s="161" t="s">
        <v>330</v>
      </c>
    </row>
    <row r="278" spans="1:1" ht="16">
      <c r="A278" s="161" t="s">
        <v>331</v>
      </c>
    </row>
    <row r="279" spans="1:1" ht="16">
      <c r="A279" s="161" t="s">
        <v>332</v>
      </c>
    </row>
    <row r="280" spans="1:1" ht="16">
      <c r="A280" s="160" t="s">
        <v>380</v>
      </c>
    </row>
    <row r="281" spans="1:1" ht="16">
      <c r="A281" s="160" t="s">
        <v>337</v>
      </c>
    </row>
    <row r="282" spans="1:1" ht="16">
      <c r="A282" s="161" t="s">
        <v>541</v>
      </c>
    </row>
    <row r="283" spans="1:1" ht="16">
      <c r="A283" s="160" t="s">
        <v>339</v>
      </c>
    </row>
    <row r="284" spans="1:1" ht="16">
      <c r="A284" s="160" t="s">
        <v>381</v>
      </c>
    </row>
    <row r="285" spans="1:1" ht="16">
      <c r="A285" s="160" t="s">
        <v>340</v>
      </c>
    </row>
    <row r="286" spans="1:1" ht="16">
      <c r="A286" s="161" t="s">
        <v>341</v>
      </c>
    </row>
    <row r="287" spans="1:1" ht="16">
      <c r="A287" s="161" t="s">
        <v>368</v>
      </c>
    </row>
    <row r="288" spans="1:1" ht="16">
      <c r="A288" s="162" t="s">
        <v>344</v>
      </c>
    </row>
    <row r="289" spans="1:1" ht="16">
      <c r="A289" s="161" t="s">
        <v>382</v>
      </c>
    </row>
    <row r="290" spans="1:1" ht="16">
      <c r="A290" s="160" t="s">
        <v>346</v>
      </c>
    </row>
    <row r="291" spans="1:1" ht="16">
      <c r="A291" s="161" t="s">
        <v>329</v>
      </c>
    </row>
    <row r="292" spans="1:1" ht="16">
      <c r="A292" s="161" t="s">
        <v>330</v>
      </c>
    </row>
    <row r="293" spans="1:1" ht="16">
      <c r="A293" s="161" t="s">
        <v>331</v>
      </c>
    </row>
    <row r="294" spans="1:1" ht="16">
      <c r="A294" s="161" t="s">
        <v>366</v>
      </c>
    </row>
    <row r="295" spans="1:1" ht="16">
      <c r="A295" s="160" t="s">
        <v>337</v>
      </c>
    </row>
    <row r="296" spans="1:1" ht="16">
      <c r="A296" s="161" t="s">
        <v>542</v>
      </c>
    </row>
    <row r="297" spans="1:1" ht="16">
      <c r="A297" s="160" t="s">
        <v>339</v>
      </c>
    </row>
    <row r="298" spans="1:1" ht="16">
      <c r="A298" s="160" t="s">
        <v>340</v>
      </c>
    </row>
    <row r="299" spans="1:1" ht="16">
      <c r="A299" s="161" t="s">
        <v>341</v>
      </c>
    </row>
    <row r="300" spans="1:1" ht="16">
      <c r="A300" s="161" t="s">
        <v>368</v>
      </c>
    </row>
    <row r="301" spans="1:1" ht="16">
      <c r="A301" s="162" t="s">
        <v>344</v>
      </c>
    </row>
    <row r="302" spans="1:1" ht="16">
      <c r="A302" s="161" t="s">
        <v>383</v>
      </c>
    </row>
    <row r="303" spans="1:1" ht="16">
      <c r="A303" s="160" t="s">
        <v>346</v>
      </c>
    </row>
    <row r="304" spans="1:1" ht="16">
      <c r="A304" s="161" t="s">
        <v>329</v>
      </c>
    </row>
    <row r="305" spans="1:1" ht="16">
      <c r="A305" s="161" t="s">
        <v>330</v>
      </c>
    </row>
    <row r="306" spans="1:1" ht="16">
      <c r="A306" s="161" t="s">
        <v>331</v>
      </c>
    </row>
    <row r="307" spans="1:1" ht="16">
      <c r="A307" s="161" t="s">
        <v>332</v>
      </c>
    </row>
    <row r="308" spans="1:1" ht="16">
      <c r="A308" s="160" t="s">
        <v>384</v>
      </c>
    </row>
    <row r="309" spans="1:1" ht="16">
      <c r="A309" s="160" t="s">
        <v>337</v>
      </c>
    </row>
    <row r="310" spans="1:1" ht="16">
      <c r="A310" s="161" t="s">
        <v>542</v>
      </c>
    </row>
    <row r="311" spans="1:1" ht="16">
      <c r="A311" s="160" t="s">
        <v>339</v>
      </c>
    </row>
    <row r="312" spans="1:1" ht="16">
      <c r="A312" s="160" t="s">
        <v>340</v>
      </c>
    </row>
    <row r="313" spans="1:1" ht="16">
      <c r="A313" s="161" t="s">
        <v>341</v>
      </c>
    </row>
    <row r="314" spans="1:1" ht="16">
      <c r="A314" s="161" t="s">
        <v>368</v>
      </c>
    </row>
    <row r="315" spans="1:1" ht="16">
      <c r="A315" s="162" t="s">
        <v>344</v>
      </c>
    </row>
    <row r="316" spans="1:1" ht="16">
      <c r="A316" s="161" t="s">
        <v>385</v>
      </c>
    </row>
    <row r="317" spans="1:1" ht="16">
      <c r="A317" s="160" t="s">
        <v>346</v>
      </c>
    </row>
    <row r="318" spans="1:1" ht="16">
      <c r="A318" s="161" t="s">
        <v>329</v>
      </c>
    </row>
    <row r="319" spans="1:1" ht="16">
      <c r="A319" s="161" t="s">
        <v>330</v>
      </c>
    </row>
    <row r="320" spans="1:1" ht="16">
      <c r="A320" s="161" t="s">
        <v>331</v>
      </c>
    </row>
    <row r="321" spans="1:1" ht="16">
      <c r="A321" s="161" t="s">
        <v>332</v>
      </c>
    </row>
    <row r="322" spans="1:1" ht="16">
      <c r="A322" s="160" t="s">
        <v>386</v>
      </c>
    </row>
    <row r="323" spans="1:1" ht="16">
      <c r="A323" s="160" t="s">
        <v>337</v>
      </c>
    </row>
    <row r="324" spans="1:1" ht="16">
      <c r="A324" s="161" t="s">
        <v>542</v>
      </c>
    </row>
    <row r="325" spans="1:1" ht="16">
      <c r="A325" s="160" t="s">
        <v>339</v>
      </c>
    </row>
    <row r="326" spans="1:1" ht="16">
      <c r="A326" s="160" t="s">
        <v>340</v>
      </c>
    </row>
    <row r="327" spans="1:1" ht="16">
      <c r="A327" s="161" t="s">
        <v>341</v>
      </c>
    </row>
    <row r="328" spans="1:1" ht="16">
      <c r="A328" s="161" t="s">
        <v>368</v>
      </c>
    </row>
    <row r="329" spans="1:1" ht="16">
      <c r="A329" s="162" t="s">
        <v>344</v>
      </c>
    </row>
    <row r="330" spans="1:1" ht="16">
      <c r="A330" s="161" t="s">
        <v>387</v>
      </c>
    </row>
    <row r="331" spans="1:1" ht="16">
      <c r="A331" s="160" t="s">
        <v>388</v>
      </c>
    </row>
    <row r="332" spans="1:1" ht="16">
      <c r="A332" s="160" t="s">
        <v>337</v>
      </c>
    </row>
    <row r="333" spans="1:1" ht="16">
      <c r="A333" s="161" t="s">
        <v>543</v>
      </c>
    </row>
    <row r="334" spans="1:1" ht="16">
      <c r="A334" s="160" t="s">
        <v>339</v>
      </c>
    </row>
    <row r="335" spans="1:1" ht="16">
      <c r="A335" s="160" t="s">
        <v>389</v>
      </c>
    </row>
    <row r="336" spans="1:1" ht="16">
      <c r="A336" s="162" t="s">
        <v>344</v>
      </c>
    </row>
    <row r="337" spans="1:1" ht="16">
      <c r="A337" s="161" t="s">
        <v>390</v>
      </c>
    </row>
    <row r="338" spans="1:1" ht="16">
      <c r="A338" s="160" t="s">
        <v>346</v>
      </c>
    </row>
    <row r="339" spans="1:1" ht="16">
      <c r="A339" s="161" t="s">
        <v>329</v>
      </c>
    </row>
    <row r="340" spans="1:1" ht="16">
      <c r="A340" s="161" t="s">
        <v>330</v>
      </c>
    </row>
    <row r="341" spans="1:1" ht="16">
      <c r="A341" s="160" t="s">
        <v>391</v>
      </c>
    </row>
    <row r="342" spans="1:1" ht="16">
      <c r="A342" s="160" t="s">
        <v>337</v>
      </c>
    </row>
    <row r="343" spans="1:1" ht="16">
      <c r="A343" s="161" t="s">
        <v>543</v>
      </c>
    </row>
    <row r="344" spans="1:1" ht="16">
      <c r="A344" s="160" t="s">
        <v>339</v>
      </c>
    </row>
    <row r="345" spans="1:1" ht="16">
      <c r="A345" s="160" t="s">
        <v>389</v>
      </c>
    </row>
    <row r="346" spans="1:1" ht="16">
      <c r="A346" s="162" t="s">
        <v>344</v>
      </c>
    </row>
    <row r="347" spans="1:1" ht="16">
      <c r="A347" s="161" t="s">
        <v>392</v>
      </c>
    </row>
    <row r="348" spans="1:1" ht="16">
      <c r="A348" s="160" t="s">
        <v>388</v>
      </c>
    </row>
    <row r="349" spans="1:1" ht="16">
      <c r="A349" s="160" t="s">
        <v>337</v>
      </c>
    </row>
    <row r="350" spans="1:1" ht="16">
      <c r="A350" s="161" t="s">
        <v>393</v>
      </c>
    </row>
    <row r="351" spans="1:1" ht="16">
      <c r="A351" s="160" t="s">
        <v>339</v>
      </c>
    </row>
    <row r="352" spans="1:1" ht="16">
      <c r="A352" s="160" t="s">
        <v>389</v>
      </c>
    </row>
    <row r="353" spans="1:1" ht="16">
      <c r="A353" s="162" t="s">
        <v>344</v>
      </c>
    </row>
    <row r="354" spans="1:1" ht="16">
      <c r="A354" s="161" t="s">
        <v>394</v>
      </c>
    </row>
    <row r="355" spans="1:1" ht="16">
      <c r="A355" s="160" t="s">
        <v>346</v>
      </c>
    </row>
    <row r="356" spans="1:1" ht="16">
      <c r="A356" s="161" t="s">
        <v>329</v>
      </c>
    </row>
    <row r="357" spans="1:1" ht="16">
      <c r="A357" s="161" t="s">
        <v>330</v>
      </c>
    </row>
    <row r="358" spans="1:1" ht="16">
      <c r="A358" s="160" t="s">
        <v>395</v>
      </c>
    </row>
    <row r="359" spans="1:1" ht="16">
      <c r="A359" s="160" t="s">
        <v>337</v>
      </c>
    </row>
    <row r="360" spans="1:1" ht="16">
      <c r="A360" s="161" t="s">
        <v>393</v>
      </c>
    </row>
    <row r="361" spans="1:1" ht="16">
      <c r="A361" s="160" t="s">
        <v>339</v>
      </c>
    </row>
    <row r="362" spans="1:1" ht="16">
      <c r="A362" s="160" t="s">
        <v>389</v>
      </c>
    </row>
    <row r="363" spans="1:1" ht="16">
      <c r="A363" s="162" t="s">
        <v>344</v>
      </c>
    </row>
    <row r="364" spans="1:1" ht="16">
      <c r="A364" s="161" t="s">
        <v>396</v>
      </c>
    </row>
    <row r="365" spans="1:1" ht="16">
      <c r="A365" s="160" t="s">
        <v>388</v>
      </c>
    </row>
    <row r="366" spans="1:1" ht="16">
      <c r="A366" s="160" t="s">
        <v>337</v>
      </c>
    </row>
    <row r="367" spans="1:1" ht="16">
      <c r="A367" s="161" t="s">
        <v>397</v>
      </c>
    </row>
    <row r="368" spans="1:1" ht="16">
      <c r="A368" s="160" t="s">
        <v>339</v>
      </c>
    </row>
    <row r="369" spans="1:1" ht="16">
      <c r="A369" s="160" t="s">
        <v>389</v>
      </c>
    </row>
    <row r="370" spans="1:1" ht="16">
      <c r="A370" s="162" t="s">
        <v>344</v>
      </c>
    </row>
    <row r="371" spans="1:1" ht="16">
      <c r="A371" s="161" t="s">
        <v>398</v>
      </c>
    </row>
    <row r="372" spans="1:1" ht="16">
      <c r="A372" s="160" t="s">
        <v>346</v>
      </c>
    </row>
    <row r="373" spans="1:1" ht="16">
      <c r="A373" s="161" t="s">
        <v>329</v>
      </c>
    </row>
    <row r="374" spans="1:1" ht="16">
      <c r="A374" s="161" t="s">
        <v>330</v>
      </c>
    </row>
    <row r="375" spans="1:1" ht="16">
      <c r="A375" s="160" t="s">
        <v>399</v>
      </c>
    </row>
    <row r="376" spans="1:1" ht="16">
      <c r="A376" s="160" t="s">
        <v>337</v>
      </c>
    </row>
    <row r="377" spans="1:1" ht="16">
      <c r="A377" s="161" t="s">
        <v>397</v>
      </c>
    </row>
    <row r="378" spans="1:1" ht="16">
      <c r="A378" s="160" t="s">
        <v>339</v>
      </c>
    </row>
    <row r="379" spans="1:1" ht="16">
      <c r="A379" s="160" t="s">
        <v>389</v>
      </c>
    </row>
    <row r="380" spans="1:1" ht="16">
      <c r="A380" s="162" t="s">
        <v>400</v>
      </c>
    </row>
    <row r="381" spans="1:1" ht="16">
      <c r="A381" s="160" t="s">
        <v>346</v>
      </c>
    </row>
    <row r="382" spans="1:1" ht="16">
      <c r="A382" s="161" t="s">
        <v>401</v>
      </c>
    </row>
    <row r="383" spans="1:1" ht="16">
      <c r="A383" s="161" t="s">
        <v>402</v>
      </c>
    </row>
    <row r="384" spans="1:1" ht="16">
      <c r="A384" s="161" t="s">
        <v>403</v>
      </c>
    </row>
    <row r="385" spans="1:1" ht="16">
      <c r="A385" s="161" t="s">
        <v>404</v>
      </c>
    </row>
    <row r="386" spans="1:1" ht="16">
      <c r="A386" s="161" t="s">
        <v>405</v>
      </c>
    </row>
    <row r="387" spans="1:1" ht="16">
      <c r="A387" s="161" t="s">
        <v>406</v>
      </c>
    </row>
    <row r="388" spans="1:1" ht="16">
      <c r="A388" s="161" t="s">
        <v>407</v>
      </c>
    </row>
    <row r="389" spans="1:1" ht="16">
      <c r="A389" s="161" t="s">
        <v>408</v>
      </c>
    </row>
    <row r="390" spans="1:1" ht="16">
      <c r="A390" s="161" t="s">
        <v>409</v>
      </c>
    </row>
    <row r="391" spans="1:1" ht="16">
      <c r="A391" s="161" t="s">
        <v>410</v>
      </c>
    </row>
    <row r="392" spans="1:1" ht="16">
      <c r="A392" s="161" t="s">
        <v>411</v>
      </c>
    </row>
    <row r="393" spans="1:1" ht="16">
      <c r="A393" s="161" t="s">
        <v>412</v>
      </c>
    </row>
    <row r="394" spans="1:1" ht="16">
      <c r="A394" s="161" t="s">
        <v>413</v>
      </c>
    </row>
    <row r="395" spans="1:1" ht="16">
      <c r="A395" s="161" t="s">
        <v>414</v>
      </c>
    </row>
    <row r="396" spans="1:1" ht="16">
      <c r="A396" s="161" t="s">
        <v>415</v>
      </c>
    </row>
    <row r="397" spans="1:1" ht="16">
      <c r="A397" s="161" t="s">
        <v>416</v>
      </c>
    </row>
    <row r="398" spans="1:1" ht="16">
      <c r="A398" s="161" t="s">
        <v>417</v>
      </c>
    </row>
    <row r="399" spans="1:1" ht="16">
      <c r="A399" s="161" t="s">
        <v>418</v>
      </c>
    </row>
    <row r="400" spans="1:1" ht="16">
      <c r="A400" s="161" t="s">
        <v>419</v>
      </c>
    </row>
    <row r="401" spans="1:1" ht="16">
      <c r="A401" s="160" t="s">
        <v>420</v>
      </c>
    </row>
    <row r="402" spans="1:1" ht="16">
      <c r="A402" s="160" t="s">
        <v>421</v>
      </c>
    </row>
    <row r="403" spans="1:1" ht="16">
      <c r="A403" s="160" t="s">
        <v>422</v>
      </c>
    </row>
    <row r="404" spans="1:1" ht="16">
      <c r="A404" s="160" t="s">
        <v>423</v>
      </c>
    </row>
    <row r="405" spans="1:1" ht="16">
      <c r="A405" s="160" t="s">
        <v>424</v>
      </c>
    </row>
    <row r="406" spans="1:1" ht="16">
      <c r="A406" s="163" t="s">
        <v>425</v>
      </c>
    </row>
    <row r="407" spans="1:1" ht="16">
      <c r="A407" s="160" t="s">
        <v>426</v>
      </c>
    </row>
    <row r="408" spans="1:1" ht="16">
      <c r="A408" s="160" t="s">
        <v>427</v>
      </c>
    </row>
    <row r="409" spans="1:1" ht="16">
      <c r="A409" s="160" t="s">
        <v>423</v>
      </c>
    </row>
    <row r="410" spans="1:1" ht="16">
      <c r="A410" s="160" t="s">
        <v>424</v>
      </c>
    </row>
    <row r="411" spans="1:1" ht="16">
      <c r="A411" s="163" t="s">
        <v>425</v>
      </c>
    </row>
    <row r="412" spans="1:1" ht="16">
      <c r="A412" s="160" t="s">
        <v>426</v>
      </c>
    </row>
    <row r="413" spans="1:1" ht="16">
      <c r="A413" s="160" t="s">
        <v>428</v>
      </c>
    </row>
    <row r="414" spans="1:1" ht="16">
      <c r="A414" s="163" t="s">
        <v>544</v>
      </c>
    </row>
    <row r="415" spans="1:1" ht="16">
      <c r="A415" s="163" t="s">
        <v>545</v>
      </c>
    </row>
    <row r="416" spans="1:1" ht="16">
      <c r="A416" s="163" t="s">
        <v>546</v>
      </c>
    </row>
    <row r="417" spans="1:1" ht="16">
      <c r="A417" s="160" t="s">
        <v>429</v>
      </c>
    </row>
    <row r="418" spans="1:1" ht="16">
      <c r="A418" s="163" t="s">
        <v>547</v>
      </c>
    </row>
    <row r="419" spans="1:1" ht="16">
      <c r="A419" s="160" t="s">
        <v>430</v>
      </c>
    </row>
    <row r="420" spans="1:1" ht="16">
      <c r="A420" s="160" t="s">
        <v>431</v>
      </c>
    </row>
    <row r="421" spans="1:1" ht="16">
      <c r="A421" s="160" t="s">
        <v>432</v>
      </c>
    </row>
    <row r="422" spans="1:1" ht="16">
      <c r="A422" s="161" t="s">
        <v>433</v>
      </c>
    </row>
    <row r="423" spans="1:1" ht="16">
      <c r="A423" s="160" t="s">
        <v>434</v>
      </c>
    </row>
    <row r="424" spans="1:1" ht="16">
      <c r="A424" s="160" t="s">
        <v>435</v>
      </c>
    </row>
    <row r="425" spans="1:1" ht="16">
      <c r="A425" s="160" t="s">
        <v>436</v>
      </c>
    </row>
    <row r="426" spans="1:1" ht="16">
      <c r="A426" s="160" t="s">
        <v>437</v>
      </c>
    </row>
    <row r="427" spans="1:1" ht="16">
      <c r="A427" s="160" t="s">
        <v>438</v>
      </c>
    </row>
    <row r="428" spans="1:1" ht="16">
      <c r="A428" s="160" t="s">
        <v>439</v>
      </c>
    </row>
    <row r="429" spans="1:1" ht="16">
      <c r="A429" s="160" t="s">
        <v>440</v>
      </c>
    </row>
    <row r="430" spans="1:1" ht="16">
      <c r="A430" s="160" t="s">
        <v>441</v>
      </c>
    </row>
    <row r="431" spans="1:1" ht="16">
      <c r="A431" s="160" t="s">
        <v>432</v>
      </c>
    </row>
    <row r="432" spans="1:1" ht="16">
      <c r="A432" s="161" t="s">
        <v>442</v>
      </c>
    </row>
    <row r="433" spans="1:1" ht="16">
      <c r="A433" s="160" t="s">
        <v>443</v>
      </c>
    </row>
    <row r="434" spans="1:1" ht="16">
      <c r="A434" s="160" t="s">
        <v>444</v>
      </c>
    </row>
    <row r="435" spans="1:1" ht="16">
      <c r="A435" s="160" t="s">
        <v>445</v>
      </c>
    </row>
    <row r="436" spans="1:1" ht="16">
      <c r="A436" s="160" t="s">
        <v>446</v>
      </c>
    </row>
    <row r="437" spans="1:1" ht="16">
      <c r="A437" s="160" t="s">
        <v>447</v>
      </c>
    </row>
    <row r="438" spans="1:1" ht="16">
      <c r="A438" s="160" t="s">
        <v>448</v>
      </c>
    </row>
    <row r="439" spans="1:1" ht="16">
      <c r="A439" s="160" t="s">
        <v>449</v>
      </c>
    </row>
    <row r="440" spans="1:1" ht="16">
      <c r="A440" s="160" t="s">
        <v>450</v>
      </c>
    </row>
    <row r="441" spans="1:1" ht="16">
      <c r="A441" s="160" t="s">
        <v>432</v>
      </c>
    </row>
    <row r="442" spans="1:1" ht="16">
      <c r="A442" s="161" t="s">
        <v>451</v>
      </c>
    </row>
    <row r="443" spans="1:1" ht="16">
      <c r="A443" s="160" t="s">
        <v>452</v>
      </c>
    </row>
    <row r="444" spans="1:1" ht="16">
      <c r="A444" s="160" t="s">
        <v>453</v>
      </c>
    </row>
    <row r="445" spans="1:1" ht="16">
      <c r="A445" s="160" t="s">
        <v>454</v>
      </c>
    </row>
    <row r="446" spans="1:1" ht="16">
      <c r="A446" s="160" t="s">
        <v>455</v>
      </c>
    </row>
    <row r="447" spans="1:1" ht="16">
      <c r="A447" s="160" t="s">
        <v>456</v>
      </c>
    </row>
    <row r="448" spans="1:1" ht="16">
      <c r="A448" s="160" t="s">
        <v>457</v>
      </c>
    </row>
    <row r="449" spans="1:1" ht="16">
      <c r="A449" s="160" t="s">
        <v>458</v>
      </c>
    </row>
    <row r="450" spans="1:1" ht="16">
      <c r="A450" s="160" t="s">
        <v>459</v>
      </c>
    </row>
    <row r="451" spans="1:1" ht="16">
      <c r="A451" s="160" t="s">
        <v>432</v>
      </c>
    </row>
    <row r="452" spans="1:1" ht="16">
      <c r="A452" s="161" t="s">
        <v>460</v>
      </c>
    </row>
    <row r="453" spans="1:1" ht="16">
      <c r="A453" s="160" t="s">
        <v>461</v>
      </c>
    </row>
    <row r="454" spans="1:1" ht="16">
      <c r="A454" s="160" t="s">
        <v>462</v>
      </c>
    </row>
    <row r="455" spans="1:1" ht="16">
      <c r="A455" s="160" t="s">
        <v>463</v>
      </c>
    </row>
    <row r="456" spans="1:1" ht="16">
      <c r="A456" s="160" t="s">
        <v>464</v>
      </c>
    </row>
    <row r="457" spans="1:1" ht="16">
      <c r="A457" s="160" t="s">
        <v>465</v>
      </c>
    </row>
    <row r="458" spans="1:1" ht="16">
      <c r="A458" s="160" t="s">
        <v>466</v>
      </c>
    </row>
    <row r="459" spans="1:1" ht="16">
      <c r="A459" s="160" t="s">
        <v>467</v>
      </c>
    </row>
    <row r="460" spans="1:1" ht="16">
      <c r="A460" s="160" t="s">
        <v>468</v>
      </c>
    </row>
    <row r="461" spans="1:1" ht="16">
      <c r="A461" s="160" t="s">
        <v>432</v>
      </c>
    </row>
    <row r="462" spans="1:1" ht="16">
      <c r="A462" s="161" t="s">
        <v>469</v>
      </c>
    </row>
    <row r="463" spans="1:1" ht="16">
      <c r="A463" s="160" t="s">
        <v>470</v>
      </c>
    </row>
    <row r="464" spans="1:1" ht="16">
      <c r="A464" s="160" t="s">
        <v>471</v>
      </c>
    </row>
    <row r="465" spans="1:1" ht="16">
      <c r="A465" s="160" t="s">
        <v>472</v>
      </c>
    </row>
    <row r="466" spans="1:1" ht="16">
      <c r="A466" s="160" t="s">
        <v>473</v>
      </c>
    </row>
    <row r="467" spans="1:1" ht="16">
      <c r="A467" s="160" t="s">
        <v>474</v>
      </c>
    </row>
    <row r="468" spans="1:1" ht="16">
      <c r="A468" s="160" t="s">
        <v>475</v>
      </c>
    </row>
    <row r="469" spans="1:1" ht="16">
      <c r="A469" s="160" t="s">
        <v>476</v>
      </c>
    </row>
    <row r="470" spans="1:1" ht="16">
      <c r="A470" s="160" t="s">
        <v>477</v>
      </c>
    </row>
    <row r="471" spans="1:1" ht="16">
      <c r="A471" s="160" t="s">
        <v>432</v>
      </c>
    </row>
    <row r="472" spans="1:1" ht="16">
      <c r="A472" s="161" t="s">
        <v>478</v>
      </c>
    </row>
    <row r="473" spans="1:1" ht="16">
      <c r="A473" s="160" t="s">
        <v>479</v>
      </c>
    </row>
    <row r="474" spans="1:1" ht="16">
      <c r="A474" s="160" t="s">
        <v>480</v>
      </c>
    </row>
    <row r="475" spans="1:1" ht="16">
      <c r="A475" s="160" t="s">
        <v>481</v>
      </c>
    </row>
    <row r="476" spans="1:1" ht="16">
      <c r="A476" s="160" t="s">
        <v>482</v>
      </c>
    </row>
    <row r="477" spans="1:1" ht="16">
      <c r="A477" s="160" t="s">
        <v>483</v>
      </c>
    </row>
    <row r="478" spans="1:1" ht="16">
      <c r="A478" s="160" t="s">
        <v>484</v>
      </c>
    </row>
    <row r="479" spans="1:1" ht="16">
      <c r="A479" s="160" t="s">
        <v>485</v>
      </c>
    </row>
    <row r="480" spans="1:1" ht="16">
      <c r="A480" s="160" t="s">
        <v>486</v>
      </c>
    </row>
    <row r="481" spans="1:1" ht="16">
      <c r="A481" s="160" t="s">
        <v>432</v>
      </c>
    </row>
    <row r="482" spans="1:1" ht="16">
      <c r="A482" s="161" t="s">
        <v>487</v>
      </c>
    </row>
    <row r="483" spans="1:1" ht="16">
      <c r="A483" s="160" t="s">
        <v>488</v>
      </c>
    </row>
    <row r="484" spans="1:1" ht="16">
      <c r="A484" s="160" t="s">
        <v>489</v>
      </c>
    </row>
    <row r="485" spans="1:1" ht="16">
      <c r="A485" s="160" t="s">
        <v>490</v>
      </c>
    </row>
    <row r="486" spans="1:1" ht="16">
      <c r="A486" s="160" t="s">
        <v>491</v>
      </c>
    </row>
    <row r="487" spans="1:1" ht="16">
      <c r="A487" s="160" t="s">
        <v>492</v>
      </c>
    </row>
    <row r="488" spans="1:1" ht="16">
      <c r="A488" s="160" t="s">
        <v>493</v>
      </c>
    </row>
    <row r="489" spans="1:1" ht="16">
      <c r="A489" s="160" t="s">
        <v>494</v>
      </c>
    </row>
    <row r="490" spans="1:1" ht="16">
      <c r="A490" s="160" t="s">
        <v>495</v>
      </c>
    </row>
    <row r="491" spans="1:1" ht="16">
      <c r="A491" s="160" t="s">
        <v>432</v>
      </c>
    </row>
    <row r="492" spans="1:1" ht="16">
      <c r="A492" s="161" t="s">
        <v>496</v>
      </c>
    </row>
    <row r="493" spans="1:1" ht="16">
      <c r="A493" s="160" t="s">
        <v>497</v>
      </c>
    </row>
    <row r="494" spans="1:1" ht="16">
      <c r="A494" s="160" t="s">
        <v>498</v>
      </c>
    </row>
    <row r="495" spans="1:1" ht="16">
      <c r="A495" s="160" t="s">
        <v>499</v>
      </c>
    </row>
    <row r="496" spans="1:1" ht="16">
      <c r="A496" s="160" t="s">
        <v>500</v>
      </c>
    </row>
    <row r="497" spans="1:1" ht="16">
      <c r="A497" s="160" t="s">
        <v>501</v>
      </c>
    </row>
    <row r="498" spans="1:1" ht="16">
      <c r="A498" s="160" t="s">
        <v>502</v>
      </c>
    </row>
    <row r="499" spans="1:1" ht="16">
      <c r="A499" s="160" t="s">
        <v>503</v>
      </c>
    </row>
    <row r="500" spans="1:1" ht="16">
      <c r="A500" s="160" t="s">
        <v>504</v>
      </c>
    </row>
    <row r="501" spans="1:1" ht="16">
      <c r="A501" s="160" t="s">
        <v>432</v>
      </c>
    </row>
    <row r="502" spans="1:1" ht="16">
      <c r="A502" s="161" t="s">
        <v>505</v>
      </c>
    </row>
    <row r="503" spans="1:1" ht="16">
      <c r="A503" s="160" t="s">
        <v>506</v>
      </c>
    </row>
    <row r="504" spans="1:1" ht="16">
      <c r="A504" s="160" t="s">
        <v>507</v>
      </c>
    </row>
    <row r="505" spans="1:1" ht="16">
      <c r="A505" s="160" t="s">
        <v>508</v>
      </c>
    </row>
    <row r="506" spans="1:1" ht="16">
      <c r="A506" s="160" t="s">
        <v>509</v>
      </c>
    </row>
    <row r="507" spans="1:1" ht="16">
      <c r="A507" s="160" t="s">
        <v>510</v>
      </c>
    </row>
    <row r="508" spans="1:1" ht="16">
      <c r="A508" s="160" t="s">
        <v>511</v>
      </c>
    </row>
    <row r="509" spans="1:1" ht="16">
      <c r="A509" s="160" t="s">
        <v>512</v>
      </c>
    </row>
    <row r="510" spans="1:1" ht="16">
      <c r="A510" s="160" t="s">
        <v>513</v>
      </c>
    </row>
    <row r="511" spans="1:1" ht="16">
      <c r="A511" s="160" t="s">
        <v>432</v>
      </c>
    </row>
    <row r="512" spans="1:1" ht="16">
      <c r="A512" s="161" t="s">
        <v>514</v>
      </c>
    </row>
    <row r="513" spans="1:1" ht="16">
      <c r="A513" s="160" t="s">
        <v>515</v>
      </c>
    </row>
    <row r="514" spans="1:1" ht="16">
      <c r="A514" s="160" t="s">
        <v>516</v>
      </c>
    </row>
    <row r="515" spans="1:1" ht="16">
      <c r="A515" s="160" t="s">
        <v>517</v>
      </c>
    </row>
    <row r="516" spans="1:1" ht="16">
      <c r="A516" s="160" t="s">
        <v>518</v>
      </c>
    </row>
    <row r="517" spans="1:1" ht="16">
      <c r="A517" s="160" t="s">
        <v>432</v>
      </c>
    </row>
    <row r="518" spans="1:1" ht="16">
      <c r="A518" s="161" t="s">
        <v>519</v>
      </c>
    </row>
    <row r="519" spans="1:1" ht="16">
      <c r="A519" s="160" t="s">
        <v>520</v>
      </c>
    </row>
    <row r="520" spans="1:1" ht="16">
      <c r="A520" s="160" t="s">
        <v>521</v>
      </c>
    </row>
    <row r="521" spans="1:1" ht="16">
      <c r="A521" s="160" t="s">
        <v>522</v>
      </c>
    </row>
    <row r="522" spans="1:1" ht="16">
      <c r="A522" s="160" t="s">
        <v>523</v>
      </c>
    </row>
    <row r="523" spans="1:1" ht="16">
      <c r="A523" s="160" t="s">
        <v>432</v>
      </c>
    </row>
    <row r="524" spans="1:1" ht="16">
      <c r="A524" s="161" t="s">
        <v>524</v>
      </c>
    </row>
    <row r="525" spans="1:1" ht="16">
      <c r="A525" s="160" t="s">
        <v>525</v>
      </c>
    </row>
    <row r="526" spans="1:1" ht="16">
      <c r="A526" s="160" t="s">
        <v>526</v>
      </c>
    </row>
    <row r="527" spans="1:1" ht="16">
      <c r="A527" s="160" t="s">
        <v>527</v>
      </c>
    </row>
    <row r="528" spans="1:1" ht="16">
      <c r="A528" s="160" t="s">
        <v>528</v>
      </c>
    </row>
    <row r="529" spans="1:1" ht="16">
      <c r="A529" s="160" t="s">
        <v>432</v>
      </c>
    </row>
    <row r="530" spans="1:1" ht="16">
      <c r="A530" s="161" t="s">
        <v>529</v>
      </c>
    </row>
    <row r="531" spans="1:1" ht="16">
      <c r="A531" s="160" t="s">
        <v>530</v>
      </c>
    </row>
    <row r="532" spans="1:1" ht="16">
      <c r="A532" s="160" t="s">
        <v>531</v>
      </c>
    </row>
    <row r="533" spans="1:1" ht="16">
      <c r="A533" s="160" t="s">
        <v>532</v>
      </c>
    </row>
    <row r="534" spans="1:1" ht="16">
      <c r="A534" s="160" t="s">
        <v>533</v>
      </c>
    </row>
    <row r="535" spans="1:1" ht="16">
      <c r="A535" s="160" t="s">
        <v>432</v>
      </c>
    </row>
    <row r="536" spans="1:1" ht="16">
      <c r="A536" s="161" t="s">
        <v>534</v>
      </c>
    </row>
    <row r="537" spans="1:1" ht="16">
      <c r="A537" s="160" t="s">
        <v>535</v>
      </c>
    </row>
    <row r="538" spans="1:1" ht="16">
      <c r="A538" s="160" t="s">
        <v>536</v>
      </c>
    </row>
    <row r="539" spans="1:1" ht="16">
      <c r="A539" s="160" t="s">
        <v>537</v>
      </c>
    </row>
    <row r="540" spans="1:1" ht="16">
      <c r="A540" s="160" t="s">
        <v>538</v>
      </c>
    </row>
    <row r="541" spans="1:1" ht="16">
      <c r="A541" s="160" t="s">
        <v>432</v>
      </c>
    </row>
    <row r="542" spans="1:1" ht="16">
      <c r="A542" s="161" t="s">
        <v>539</v>
      </c>
    </row>
    <row r="543" spans="1:1" ht="16">
      <c r="A543" s="160" t="s">
        <v>540</v>
      </c>
    </row>
    <row r="544" spans="1:1" ht="16">
      <c r="A544" s="160" t="s">
        <v>548</v>
      </c>
    </row>
    <row r="545" spans="1:1" ht="16">
      <c r="A545" s="160" t="s">
        <v>549</v>
      </c>
    </row>
    <row r="546" spans="1:1" ht="16">
      <c r="A546" s="160" t="s">
        <v>550</v>
      </c>
    </row>
    <row r="547" spans="1:1" ht="16">
      <c r="A547" s="160" t="s">
        <v>432</v>
      </c>
    </row>
    <row r="548" spans="1:1" ht="16">
      <c r="A548" s="161" t="s">
        <v>551</v>
      </c>
    </row>
    <row r="549" spans="1:1" ht="16">
      <c r="A549" s="160" t="s">
        <v>552</v>
      </c>
    </row>
    <row r="550" spans="1:1" ht="16">
      <c r="A550" s="160" t="s">
        <v>553</v>
      </c>
    </row>
    <row r="551" spans="1:1" ht="16">
      <c r="A551" s="160" t="s">
        <v>554</v>
      </c>
    </row>
    <row r="552" spans="1:1" ht="16">
      <c r="A552" s="160" t="s">
        <v>555</v>
      </c>
    </row>
    <row r="553" spans="1:1" ht="16">
      <c r="A553" s="160" t="s">
        <v>432</v>
      </c>
    </row>
    <row r="554" spans="1:1" ht="16">
      <c r="A554" s="161" t="s">
        <v>556</v>
      </c>
    </row>
    <row r="555" spans="1:1" ht="16">
      <c r="A555" s="160" t="s">
        <v>557</v>
      </c>
    </row>
    <row r="556" spans="1:1" ht="16">
      <c r="A556" s="160" t="s">
        <v>558</v>
      </c>
    </row>
    <row r="557" spans="1:1" ht="16">
      <c r="A557" s="160" t="s">
        <v>559</v>
      </c>
    </row>
    <row r="558" spans="1:1" ht="16">
      <c r="A558" s="160" t="s">
        <v>560</v>
      </c>
    </row>
    <row r="559" spans="1:1" ht="16">
      <c r="A559" s="160" t="s">
        <v>432</v>
      </c>
    </row>
    <row r="560" spans="1:1" ht="16">
      <c r="A560" s="161" t="s">
        <v>561</v>
      </c>
    </row>
    <row r="561" spans="1:1" ht="16">
      <c r="A561" s="160" t="s">
        <v>562</v>
      </c>
    </row>
    <row r="562" spans="1:1" ht="16">
      <c r="A562" s="160" t="s">
        <v>563</v>
      </c>
    </row>
    <row r="563" spans="1:1" ht="16">
      <c r="A563" s="160" t="s">
        <v>564</v>
      </c>
    </row>
    <row r="564" spans="1:1" ht="16">
      <c r="A564" s="160" t="s">
        <v>565</v>
      </c>
    </row>
    <row r="565" spans="1:1" ht="16">
      <c r="A565" s="160" t="s">
        <v>432</v>
      </c>
    </row>
    <row r="566" spans="1:1" ht="16">
      <c r="A566" s="161" t="s">
        <v>566</v>
      </c>
    </row>
    <row r="567" spans="1:1" ht="16">
      <c r="A567" s="160" t="s">
        <v>567</v>
      </c>
    </row>
    <row r="568" spans="1:1" ht="16">
      <c r="A568" s="160" t="s">
        <v>568</v>
      </c>
    </row>
    <row r="569" spans="1:1" ht="16">
      <c r="A569" s="160" t="s">
        <v>569</v>
      </c>
    </row>
    <row r="570" spans="1:1" ht="16">
      <c r="A570" s="160" t="s">
        <v>570</v>
      </c>
    </row>
    <row r="571" spans="1:1" ht="16">
      <c r="A571" s="160" t="s">
        <v>432</v>
      </c>
    </row>
    <row r="572" spans="1:1" ht="16">
      <c r="A572" s="161" t="s">
        <v>571</v>
      </c>
    </row>
    <row r="573" spans="1:1" ht="16">
      <c r="A573" s="160" t="s">
        <v>572</v>
      </c>
    </row>
    <row r="574" spans="1:1" ht="16">
      <c r="A574" s="160" t="s">
        <v>573</v>
      </c>
    </row>
    <row r="575" spans="1:1" ht="16">
      <c r="A575" s="160" t="s">
        <v>432</v>
      </c>
    </row>
    <row r="576" spans="1:1" ht="16">
      <c r="A576" s="161" t="s">
        <v>574</v>
      </c>
    </row>
    <row r="577" spans="1:1" ht="16">
      <c r="A577" s="160" t="s">
        <v>575</v>
      </c>
    </row>
    <row r="578" spans="1:1" ht="16">
      <c r="A578" s="160" t="s">
        <v>576</v>
      </c>
    </row>
    <row r="579" spans="1:1" ht="16">
      <c r="A579" s="160" t="s">
        <v>432</v>
      </c>
    </row>
    <row r="580" spans="1:1" ht="16">
      <c r="A580" s="161" t="s">
        <v>577</v>
      </c>
    </row>
    <row r="581" spans="1:1" ht="16">
      <c r="A581" s="160" t="s">
        <v>578</v>
      </c>
    </row>
    <row r="582" spans="1:1" ht="16">
      <c r="A582" s="160" t="s">
        <v>579</v>
      </c>
    </row>
    <row r="583" spans="1:1" ht="16">
      <c r="A583" s="160" t="s">
        <v>432</v>
      </c>
    </row>
    <row r="584" spans="1:1" ht="16">
      <c r="A584" s="161" t="s">
        <v>580</v>
      </c>
    </row>
    <row r="585" spans="1:1" ht="16">
      <c r="A585" s="160" t="s">
        <v>581</v>
      </c>
    </row>
    <row r="586" spans="1:1" ht="16">
      <c r="A586" s="160" t="s">
        <v>582</v>
      </c>
    </row>
    <row r="587" spans="1:1" ht="16">
      <c r="A587" s="160" t="s">
        <v>432</v>
      </c>
    </row>
    <row r="588" spans="1:1" ht="16">
      <c r="A588" s="161" t="s">
        <v>583</v>
      </c>
    </row>
    <row r="589" spans="1:1" ht="16">
      <c r="A589" s="160" t="s">
        <v>584</v>
      </c>
    </row>
    <row r="590" spans="1:1" ht="16">
      <c r="A590" s="160" t="s">
        <v>585</v>
      </c>
    </row>
    <row r="591" spans="1:1" ht="16">
      <c r="A591" s="160" t="s">
        <v>432</v>
      </c>
    </row>
    <row r="592" spans="1:1" ht="16">
      <c r="A592" s="161" t="s">
        <v>586</v>
      </c>
    </row>
    <row r="593" spans="1:1" ht="16">
      <c r="A593" s="160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888-6BC2-F9C8-BBB8-1C578B18A2E1}">
  <dimension ref="A1:S49"/>
  <sheetViews>
    <sheetView topLeftCell="A16" zoomScale="80" workbookViewId="0">
      <selection activeCell="J69" sqref="J69"/>
    </sheetView>
  </sheetViews>
  <sheetFormatPr baseColWidth="10" defaultColWidth="8.83203125" defaultRowHeight="15" customHeight="1"/>
  <cols>
    <col min="1" max="1" width="21.33203125" customWidth="1"/>
    <col min="2" max="5" width="12.1640625" hidden="1" customWidth="1"/>
    <col min="6" max="8" width="17.1640625" customWidth="1"/>
    <col min="9" max="9" width="31" customWidth="1"/>
    <col min="10" max="10" width="25.5" customWidth="1"/>
    <col min="11" max="13" width="17.1640625" customWidth="1"/>
    <col min="14" max="26" width="12.1640625" customWidth="1"/>
  </cols>
  <sheetData>
    <row r="1" spans="1:18" ht="15" customHeight="1">
      <c r="A1" s="1"/>
      <c r="H1" s="146" t="s">
        <v>0</v>
      </c>
      <c r="I1" s="146"/>
      <c r="J1" s="147" t="s">
        <v>1</v>
      </c>
      <c r="K1" s="148"/>
    </row>
    <row r="2" spans="1:18" ht="15" hidden="1" customHeight="1">
      <c r="H2" s="146"/>
      <c r="I2" s="146"/>
      <c r="J2" s="147"/>
      <c r="K2" s="148"/>
    </row>
    <row r="3" spans="1:18" ht="15" hidden="1" customHeight="1">
      <c r="H3" s="146"/>
      <c r="I3" s="146"/>
      <c r="J3" s="147"/>
      <c r="K3" s="148"/>
    </row>
    <row r="4" spans="1:18" ht="15" hidden="1" customHeight="1">
      <c r="C4" s="2"/>
      <c r="H4" s="146"/>
      <c r="I4" s="146"/>
      <c r="J4" s="147"/>
      <c r="K4" s="148"/>
    </row>
    <row r="5" spans="1:18" ht="15" hidden="1" customHeight="1">
      <c r="H5" s="146"/>
      <c r="I5" s="146"/>
      <c r="J5" s="147"/>
      <c r="K5" s="148"/>
    </row>
    <row r="6" spans="1:18" ht="15" hidden="1" customHeight="1">
      <c r="H6" s="146"/>
      <c r="I6" s="146"/>
      <c r="J6" s="147"/>
      <c r="K6" s="148"/>
    </row>
    <row r="7" spans="1:18" ht="15" hidden="1" customHeight="1">
      <c r="H7" s="146"/>
      <c r="I7" s="146"/>
      <c r="J7" s="147"/>
      <c r="K7" s="148"/>
    </row>
    <row r="8" spans="1:18" ht="15" hidden="1" customHeight="1">
      <c r="H8" s="146"/>
      <c r="I8" s="146"/>
      <c r="J8" s="147"/>
      <c r="K8" s="148"/>
    </row>
    <row r="9" spans="1:18" ht="15" customHeight="1">
      <c r="A9" s="2"/>
      <c r="H9" s="146" t="s">
        <v>2</v>
      </c>
      <c r="I9" s="146"/>
      <c r="J9" s="147" t="s">
        <v>3</v>
      </c>
      <c r="K9" s="148"/>
    </row>
    <row r="10" spans="1:18" ht="15" customHeight="1">
      <c r="H10" s="146" t="s">
        <v>4</v>
      </c>
      <c r="I10" s="146"/>
      <c r="J10" s="147" t="s">
        <v>5</v>
      </c>
      <c r="K10" s="148"/>
      <c r="R10" s="2"/>
    </row>
    <row r="11" spans="1:18" ht="15" customHeight="1">
      <c r="A11" s="1"/>
      <c r="H11" s="146" t="s">
        <v>6</v>
      </c>
      <c r="I11" s="146"/>
      <c r="J11" s="147" t="s">
        <v>7</v>
      </c>
      <c r="K11" s="148"/>
    </row>
    <row r="12" spans="1:18" ht="15" customHeight="1">
      <c r="A12" s="2"/>
      <c r="H12" s="146" t="s">
        <v>8</v>
      </c>
      <c r="I12" s="146"/>
      <c r="J12" s="149"/>
      <c r="K12" s="150"/>
    </row>
    <row r="15" spans="1:18" s="3" customFormat="1" ht="35.25" customHeight="1">
      <c r="F15" s="4" t="s">
        <v>9</v>
      </c>
      <c r="G15" s="5" t="s">
        <v>10</v>
      </c>
      <c r="H15" s="5" t="s">
        <v>11</v>
      </c>
      <c r="I15" s="6" t="s">
        <v>12</v>
      </c>
      <c r="J15" s="7" t="s">
        <v>13</v>
      </c>
      <c r="K15" s="7" t="s">
        <v>14</v>
      </c>
      <c r="L15" s="7" t="s">
        <v>15</v>
      </c>
    </row>
    <row r="16" spans="1:18" ht="15" customHeight="1">
      <c r="A16" s="2" t="s">
        <v>16</v>
      </c>
      <c r="F16" s="8" t="e" cm="1">
        <f t="array" ref="F16">#REF!</f>
        <v>#REF!</v>
      </c>
      <c r="G16" s="9" t="e" cm="1">
        <f t="array" ref="G16">#REF!</f>
        <v>#REF!</v>
      </c>
      <c r="H16" s="9" t="e" cm="1">
        <f t="array" ref="H16">#REF!</f>
        <v>#REF!</v>
      </c>
      <c r="I16" s="9" t="e">
        <f t="shared" ref="I16:I21" si="0">F16+G16</f>
        <v>#REF!</v>
      </c>
      <c r="J16" s="8" t="e" cm="1">
        <f t="array" ref="J16">#REF!</f>
        <v>#REF!</v>
      </c>
      <c r="K16" s="10" t="e">
        <f t="shared" ref="K16:K21" si="1">ROUND(J16-I16,2)</f>
        <v>#REF!</v>
      </c>
      <c r="L16" s="11" t="e">
        <f>DATA!B8-J16</f>
        <v>#REF!</v>
      </c>
    </row>
    <row r="17" spans="1:19" ht="15" customHeight="1">
      <c r="F17" s="8"/>
      <c r="G17" s="9"/>
      <c r="H17" s="9"/>
      <c r="I17" s="9"/>
      <c r="J17" s="9"/>
      <c r="K17" s="9"/>
      <c r="L17" s="11"/>
    </row>
    <row r="18" spans="1:19" ht="15" customHeight="1">
      <c r="A18" s="12" t="s">
        <v>17</v>
      </c>
      <c r="F18" s="8" t="e" cm="1">
        <f t="array" ref="F18">#REF!</f>
        <v>#REF!</v>
      </c>
      <c r="G18" s="9" t="e" cm="1">
        <f t="array" ref="G18">#REF!</f>
        <v>#REF!</v>
      </c>
      <c r="H18" s="9" t="e" cm="1">
        <f t="array" ref="H18">#REF!</f>
        <v>#REF!</v>
      </c>
      <c r="I18" s="9" t="e">
        <f t="shared" si="0"/>
        <v>#REF!</v>
      </c>
      <c r="J18" s="13" cm="1">
        <f t="array" ref="J18">'Labor Projection'!T10</f>
        <v>0</v>
      </c>
      <c r="K18" s="10" t="e">
        <f t="shared" si="1"/>
        <v>#REF!</v>
      </c>
      <c r="L18" s="11">
        <f>DATA!C8-J18</f>
        <v>0</v>
      </c>
      <c r="M18" s="2"/>
    </row>
    <row r="19" spans="1:19" ht="15" customHeight="1">
      <c r="A19" s="12" t="s">
        <v>18</v>
      </c>
      <c r="F19" s="8" t="e" cm="1">
        <f t="array" ref="F19">#REF!</f>
        <v>#REF!</v>
      </c>
      <c r="G19" s="9" t="e" cm="1">
        <f t="array" ref="G19">#REF!</f>
        <v>#REF!</v>
      </c>
      <c r="H19" s="9" t="e" cm="1">
        <f t="array" ref="H19">#REF!</f>
        <v>#REF!</v>
      </c>
      <c r="I19" s="9" t="e">
        <f t="shared" si="0"/>
        <v>#REF!</v>
      </c>
      <c r="J19" s="13" t="e">
        <f>('Labor Projection'!I10*'Labor Projection'!N1)+'Manpower Projection'!J16</f>
        <v>#DIV/0!</v>
      </c>
      <c r="K19" s="10" t="e">
        <f t="shared" si="1"/>
        <v>#DIV/0!</v>
      </c>
      <c r="L19" s="11" t="e">
        <f>DATA!D8-J19</f>
        <v>#DIV/0!</v>
      </c>
      <c r="N19" s="2"/>
    </row>
    <row r="20" spans="1:19" ht="15" customHeight="1">
      <c r="A20" s="12" t="s">
        <v>19</v>
      </c>
      <c r="F20" s="8" t="e" cm="1">
        <f t="array" ref="F20">#REF!</f>
        <v>#REF!</v>
      </c>
      <c r="G20" s="9" t="e" cm="1">
        <f t="array" ref="G20">#REF!</f>
        <v>#REF!</v>
      </c>
      <c r="H20" s="9" t="e" cm="1">
        <f t="array" ref="H20">#REF!</f>
        <v>#REF!</v>
      </c>
      <c r="I20" s="9" t="e">
        <f t="shared" si="0"/>
        <v>#REF!</v>
      </c>
      <c r="J20" s="14" cm="1">
        <f t="array" ref="J20">Materials!L3</f>
        <v>473279.63</v>
      </c>
      <c r="K20" s="10" t="e">
        <f t="shared" si="1"/>
        <v>#REF!</v>
      </c>
      <c r="L20" s="11">
        <f>DATA!E8-J20</f>
        <v>-473279.63</v>
      </c>
      <c r="M20" s="1"/>
    </row>
    <row r="21" spans="1:19" ht="15" customHeight="1">
      <c r="A21" s="12" t="s">
        <v>20</v>
      </c>
      <c r="F21" s="8" t="e" cm="1">
        <f t="array" ref="F21">#REF!</f>
        <v>#REF!</v>
      </c>
      <c r="G21" s="9" t="e" cm="1">
        <f t="array" ref="G21">#REF!</f>
        <v>#REF!</v>
      </c>
      <c r="H21" s="9" t="e" cm="1">
        <f t="array" ref="H21">#REF!</f>
        <v>#REF!</v>
      </c>
      <c r="I21" s="9" t="e">
        <f t="shared" si="0"/>
        <v>#REF!</v>
      </c>
      <c r="J21" s="8" cm="1">
        <f t="array" ref="J21">Materials!L4</f>
        <v>29087.91</v>
      </c>
      <c r="K21" s="10" t="e">
        <f t="shared" si="1"/>
        <v>#REF!</v>
      </c>
      <c r="L21" s="11">
        <f>DATA!F8-J21</f>
        <v>-29087.91</v>
      </c>
      <c r="N21" s="2"/>
    </row>
    <row r="22" spans="1:19" ht="15" customHeight="1">
      <c r="A22" s="12" t="s">
        <v>21</v>
      </c>
      <c r="F22" s="15" t="e">
        <f t="shared" ref="F22:K22" si="2">SUM(F18:F21)</f>
        <v>#REF!</v>
      </c>
      <c r="G22" s="16" t="e">
        <f t="shared" si="2"/>
        <v>#REF!</v>
      </c>
      <c r="H22" s="16" t="e">
        <f t="shared" si="2"/>
        <v>#REF!</v>
      </c>
      <c r="I22" s="16" t="e">
        <f t="shared" si="2"/>
        <v>#REF!</v>
      </c>
      <c r="J22" s="15" t="e">
        <f t="shared" si="2"/>
        <v>#DIV/0!</v>
      </c>
      <c r="K22" s="17" t="e">
        <f t="shared" si="2"/>
        <v>#REF!</v>
      </c>
      <c r="L22" s="18" t="e">
        <f>SUM(L18:L21)-J22</f>
        <v>#DIV/0!</v>
      </c>
      <c r="M22" s="2"/>
      <c r="S22" s="2"/>
    </row>
    <row r="23" spans="1:19" ht="15" customHeight="1">
      <c r="A23" s="12"/>
      <c r="F23" s="8"/>
      <c r="G23" s="9"/>
      <c r="H23" s="9"/>
      <c r="I23" s="9"/>
      <c r="J23" s="8"/>
      <c r="K23" s="10"/>
      <c r="L23" s="11"/>
    </row>
    <row r="24" spans="1:19" ht="15" customHeight="1">
      <c r="A24" s="12" t="s">
        <v>22</v>
      </c>
      <c r="F24" s="15" t="e">
        <f t="shared" ref="F24:K24" si="3">F16-F22</f>
        <v>#REF!</v>
      </c>
      <c r="G24" s="16" t="e">
        <f t="shared" si="3"/>
        <v>#REF!</v>
      </c>
      <c r="H24" s="16" t="e">
        <f t="shared" si="3"/>
        <v>#REF!</v>
      </c>
      <c r="I24" s="16" t="e">
        <f t="shared" si="3"/>
        <v>#REF!</v>
      </c>
      <c r="J24" s="15" t="e">
        <f t="shared" si="3"/>
        <v>#REF!</v>
      </c>
      <c r="K24" s="17" t="e">
        <f t="shared" si="3"/>
        <v>#REF!</v>
      </c>
      <c r="L24" s="18" t="e">
        <f>DATA!B8-SUM(DATA!C8:F8)-J24</f>
        <v>#REF!</v>
      </c>
    </row>
    <row r="25" spans="1:19" ht="15" customHeight="1">
      <c r="A25" s="12" t="s">
        <v>23</v>
      </c>
      <c r="F25" s="19" t="e">
        <f t="shared" ref="F25:J25" si="4">F24/F22</f>
        <v>#REF!</v>
      </c>
      <c r="G25" s="20" t="e">
        <f t="shared" si="4"/>
        <v>#REF!</v>
      </c>
      <c r="H25" s="20" t="e">
        <f t="shared" si="4"/>
        <v>#REF!</v>
      </c>
      <c r="I25" s="20" t="e">
        <f t="shared" si="4"/>
        <v>#REF!</v>
      </c>
      <c r="J25" s="19" t="e">
        <f t="shared" si="4"/>
        <v>#REF!</v>
      </c>
      <c r="K25" s="21" t="e">
        <f>ROUND(Summary!J25-Summary!I25,2)</f>
        <v>#REF!</v>
      </c>
      <c r="L25" s="22" t="e">
        <f>DATA!G8-J25</f>
        <v>#REF!</v>
      </c>
    </row>
    <row r="26" spans="1:19" ht="15" customHeight="1">
      <c r="A26" s="12" t="s">
        <v>24</v>
      </c>
      <c r="F26" s="23" t="e">
        <f t="shared" ref="F26:L26" si="5">IF(F16=0,0,F24/F16)</f>
        <v>#REF!</v>
      </c>
      <c r="G26" s="24" t="e">
        <f t="shared" si="5"/>
        <v>#REF!</v>
      </c>
      <c r="H26" s="24" t="e">
        <f t="shared" si="5"/>
        <v>#REF!</v>
      </c>
      <c r="I26" s="24" t="e">
        <f t="shared" ref="I26:J26" si="6">ROUND(IF(I16=0,0,I24/I16),2)</f>
        <v>#REF!</v>
      </c>
      <c r="J26" s="23" t="e">
        <f t="shared" si="6"/>
        <v>#REF!</v>
      </c>
      <c r="K26" s="25" t="e">
        <f t="shared" si="5"/>
        <v>#REF!</v>
      </c>
      <c r="L26" s="25" t="e">
        <f t="shared" si="5"/>
        <v>#REF!</v>
      </c>
      <c r="M26" s="2"/>
      <c r="Q26" s="2"/>
    </row>
    <row r="28" spans="1:19" ht="15" customHeight="1">
      <c r="A28" s="151" t="s">
        <v>25</v>
      </c>
      <c r="B28" s="152"/>
      <c r="C28" s="152"/>
      <c r="D28" s="152"/>
      <c r="E28" s="152"/>
      <c r="F28" s="152"/>
      <c r="G28" s="152"/>
      <c r="H28" s="152"/>
      <c r="I28" s="153"/>
      <c r="J28" s="152"/>
      <c r="K28" s="154"/>
    </row>
    <row r="29" spans="1:19" ht="15" customHeight="1">
      <c r="A29" s="26" t="s">
        <v>26</v>
      </c>
      <c r="I29" s="27" t="s">
        <v>27</v>
      </c>
    </row>
    <row r="30" spans="1:19" ht="15" customHeight="1">
      <c r="A30" s="26" t="s">
        <v>28</v>
      </c>
      <c r="F30" s="28" t="s">
        <v>29</v>
      </c>
      <c r="I30" s="29" t="s">
        <v>30</v>
      </c>
      <c r="J30" s="28" t="s">
        <v>29</v>
      </c>
      <c r="N30" s="2"/>
    </row>
    <row r="31" spans="1:19" ht="15" customHeight="1">
      <c r="A31" s="26" t="s">
        <v>31</v>
      </c>
      <c r="F31" s="28" t="s">
        <v>29</v>
      </c>
      <c r="I31" s="29" t="s">
        <v>32</v>
      </c>
      <c r="J31" s="30">
        <f>Materials!H10+'Manpower Projection'!K16</f>
        <v>24375.399999999994</v>
      </c>
    </row>
    <row r="32" spans="1:19" ht="15" customHeight="1">
      <c r="A32" s="26" t="s">
        <v>33</v>
      </c>
      <c r="F32" s="30" t="e">
        <f t="shared" ref="F32:J38" si="7">F30-F31</f>
        <v>#VALUE!</v>
      </c>
      <c r="I32" s="26" t="s">
        <v>34</v>
      </c>
      <c r="J32" s="30" t="e">
        <f t="shared" si="7"/>
        <v>#VALUE!</v>
      </c>
    </row>
    <row r="33" spans="1:13" ht="15" customHeight="1">
      <c r="A33" s="26" t="s">
        <v>35</v>
      </c>
      <c r="F33" s="29" t="s">
        <v>36</v>
      </c>
      <c r="I33" s="26" t="s">
        <v>35</v>
      </c>
      <c r="J33" s="29" t="s">
        <v>36</v>
      </c>
    </row>
    <row r="35" spans="1:13" ht="15" customHeight="1">
      <c r="A35" s="26" t="s">
        <v>37</v>
      </c>
      <c r="I35" s="26" t="s">
        <v>38</v>
      </c>
      <c r="L35" s="155" t="s">
        <v>39</v>
      </c>
      <c r="M35" s="156"/>
    </row>
    <row r="36" spans="1:13" ht="15" customHeight="1">
      <c r="A36" s="26" t="s">
        <v>40</v>
      </c>
      <c r="F36" s="31" t="e">
        <f>ROUND(#REF!,2)</f>
        <v>#REF!</v>
      </c>
      <c r="G36" s="29"/>
      <c r="I36" s="26" t="s">
        <v>41</v>
      </c>
      <c r="J36" s="31" t="e">
        <f>ROUND('Labor Projection'!F10*'Labor Projection'!H10,2)</f>
        <v>#REF!</v>
      </c>
      <c r="K36" s="9" t="e">
        <f t="shared" ref="K36:K37" si="8">J36*F36</f>
        <v>#REF!</v>
      </c>
      <c r="L36" s="32" t="e">
        <f>J36-DATA!H8</f>
        <v>#REF!</v>
      </c>
      <c r="M36" s="33" t="e">
        <f>K36-(DATA!J8*DATA!H8)</f>
        <v>#REF!</v>
      </c>
    </row>
    <row r="37" spans="1:13" ht="15" customHeight="1">
      <c r="A37" s="26" t="s">
        <v>42</v>
      </c>
      <c r="F37" s="31">
        <f>ROUND('Labor Projection'!R10/'Labor Projection'!G10,2)</f>
        <v>51.69</v>
      </c>
      <c r="G37" s="29"/>
      <c r="I37" s="26" t="s">
        <v>43</v>
      </c>
      <c r="J37" s="31">
        <f>ROUND('Labor Projection'!G10,2)</f>
        <v>290</v>
      </c>
      <c r="K37" s="9">
        <f t="shared" si="8"/>
        <v>14990.099999999999</v>
      </c>
      <c r="L37" s="34">
        <f>J37-DATA!I8</f>
        <v>290</v>
      </c>
      <c r="M37" s="35">
        <f>K37-(DATA!K8*DATA!I8)</f>
        <v>14990.099999999999</v>
      </c>
    </row>
    <row r="38" spans="1:13" ht="15" customHeight="1">
      <c r="A38" s="26" t="s">
        <v>44</v>
      </c>
      <c r="F38" s="31" t="e">
        <f t="shared" si="7"/>
        <v>#REF!</v>
      </c>
      <c r="G38" s="29"/>
      <c r="I38" s="26" t="s">
        <v>38</v>
      </c>
      <c r="J38" s="31" t="e">
        <f t="shared" ref="J38:M38" si="9">J36/J37</f>
        <v>#REF!</v>
      </c>
      <c r="K38" s="31" t="e">
        <f t="shared" si="9"/>
        <v>#REF!</v>
      </c>
      <c r="L38" s="36" t="e">
        <f t="shared" si="9"/>
        <v>#REF!</v>
      </c>
      <c r="M38" s="36" t="e">
        <f t="shared" si="9"/>
        <v>#REF!</v>
      </c>
    </row>
    <row r="39" spans="1:13" ht="15" customHeight="1">
      <c r="A39" s="26" t="s">
        <v>35</v>
      </c>
      <c r="F39" t="s">
        <v>36</v>
      </c>
      <c r="I39" s="26" t="s">
        <v>35</v>
      </c>
      <c r="J39" t="s">
        <v>36</v>
      </c>
    </row>
    <row r="41" spans="1:13" ht="15" customHeight="1">
      <c r="A41" s="26" t="s">
        <v>45</v>
      </c>
      <c r="I41" s="37" t="s">
        <v>46</v>
      </c>
      <c r="J41" s="38">
        <v>0.03</v>
      </c>
    </row>
    <row r="42" spans="1:13" ht="15" customHeight="1">
      <c r="A42" s="39" t="s">
        <v>47</v>
      </c>
      <c r="F42" s="28" t="s">
        <v>29</v>
      </c>
      <c r="J42" s="40"/>
      <c r="K42" s="2"/>
    </row>
    <row r="43" spans="1:13" ht="15" customHeight="1">
      <c r="A43" s="41" t="s">
        <v>48</v>
      </c>
      <c r="F43" s="28" t="s">
        <v>29</v>
      </c>
      <c r="I43" s="42" t="s">
        <v>49</v>
      </c>
      <c r="J43" s="43"/>
    </row>
    <row r="44" spans="1:13" ht="15" customHeight="1">
      <c r="A44" s="41" t="s">
        <v>50</v>
      </c>
      <c r="F44" s="28" t="s">
        <v>29</v>
      </c>
    </row>
    <row r="45" spans="1:13" ht="15" customHeight="1">
      <c r="A45" s="41" t="s">
        <v>51</v>
      </c>
      <c r="F45" s="28" t="s">
        <v>29</v>
      </c>
    </row>
    <row r="46" spans="1:13" ht="15" customHeight="1">
      <c r="A46" s="41" t="s">
        <v>52</v>
      </c>
      <c r="F46" s="28" t="s">
        <v>29</v>
      </c>
    </row>
    <row r="47" spans="1:13" ht="15" customHeight="1">
      <c r="A47" s="41" t="s">
        <v>53</v>
      </c>
      <c r="F47" s="28" t="s">
        <v>54</v>
      </c>
    </row>
    <row r="49" spans="1:10" ht="15" customHeight="1">
      <c r="A49" s="157" t="s">
        <v>55</v>
      </c>
      <c r="B49" s="157"/>
      <c r="C49" s="157"/>
      <c r="D49" s="157"/>
      <c r="E49" s="157"/>
      <c r="F49" s="157"/>
      <c r="G49" s="157"/>
      <c r="H49" s="157"/>
      <c r="I49" s="157"/>
      <c r="J49" s="157"/>
    </row>
  </sheetData>
  <mergeCells count="27">
    <mergeCell ref="A28:K28"/>
    <mergeCell ref="L35:M35"/>
    <mergeCell ref="A49:J49"/>
    <mergeCell ref="H11:I11"/>
    <mergeCell ref="H12:I12"/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F3F-A378-B4BA-7968-2EABE668E658}">
  <dimension ref="A1:Z528"/>
  <sheetViews>
    <sheetView zoomScale="80" workbookViewId="0">
      <selection activeCell="A75" sqref="A75"/>
    </sheetView>
  </sheetViews>
  <sheetFormatPr baseColWidth="10" defaultColWidth="8.83203125" defaultRowHeight="15" customHeight="1"/>
  <cols>
    <col min="1" max="1" width="1.5" style="44" customWidth="1"/>
    <col min="2" max="5" width="12.1640625" style="44" hidden="1" customWidth="1"/>
    <col min="6" max="6" width="25.6640625" style="44" customWidth="1"/>
    <col min="7" max="10" width="17.1640625" style="44" customWidth="1"/>
    <col min="11" max="11" width="11.6640625" style="44" customWidth="1"/>
    <col min="12" max="14" width="17.1640625" style="44" customWidth="1"/>
    <col min="15" max="26" width="12.1640625" style="44" customWidth="1"/>
  </cols>
  <sheetData>
    <row r="1" spans="6:15" ht="15" customHeight="1">
      <c r="F1" s="45" t="s">
        <v>1</v>
      </c>
    </row>
    <row r="2" spans="6:15" ht="15" hidden="1" customHeight="1"/>
    <row r="3" spans="6:15" ht="15" hidden="1" customHeight="1">
      <c r="M3" s="46" t="s">
        <v>57</v>
      </c>
      <c r="N3" s="46" t="s">
        <v>58</v>
      </c>
      <c r="O3" s="46" t="s">
        <v>59</v>
      </c>
    </row>
    <row r="4" spans="6:15" ht="15" hidden="1" customHeight="1">
      <c r="J4" s="46" t="s">
        <v>60</v>
      </c>
      <c r="M4" s="44" t="e">
        <f>SUM(#REF!)</f>
        <v>#REF!</v>
      </c>
      <c r="N4" s="44" t="e">
        <f>SUM(#REF!)</f>
        <v>#REF!</v>
      </c>
      <c r="O4" s="44" t="e">
        <f>SUM(#REF!)</f>
        <v>#REF!</v>
      </c>
    </row>
    <row r="5" spans="6:15" ht="15" hidden="1" customHeight="1"/>
    <row r="6" spans="6:15" ht="15" hidden="1" customHeight="1"/>
    <row r="7" spans="6:15" ht="15" hidden="1" customHeight="1"/>
    <row r="8" spans="6:15" ht="15" hidden="1" customHeight="1"/>
    <row r="9" spans="6:15" ht="15" hidden="1" customHeight="1"/>
    <row r="10" spans="6:15" ht="15" customHeight="1">
      <c r="F10" s="47" t="s">
        <v>61</v>
      </c>
    </row>
    <row r="12" spans="6:15" ht="15" customHeight="1">
      <c r="F12" s="48" t="s">
        <v>62</v>
      </c>
      <c r="G12" s="49"/>
      <c r="H12" s="49"/>
      <c r="I12" s="49"/>
      <c r="J12" s="49"/>
      <c r="K12" s="49"/>
      <c r="L12" s="49"/>
      <c r="M12" s="50"/>
    </row>
    <row r="13" spans="6:15" ht="15" customHeight="1">
      <c r="F13" s="51" t="s">
        <v>63</v>
      </c>
      <c r="I13" s="52" t="e">
        <f>I17/H17</f>
        <v>#DIV/0!</v>
      </c>
      <c r="M13" s="53"/>
    </row>
    <row r="14" spans="6:15" ht="15" customHeight="1">
      <c r="F14" s="51" t="s">
        <v>64</v>
      </c>
      <c r="G14" s="54"/>
      <c r="H14" s="54"/>
      <c r="I14" s="55" t="e">
        <f>(I17+J17)/H17</f>
        <v>#DIV/0!</v>
      </c>
      <c r="J14" s="54"/>
      <c r="K14" s="54"/>
      <c r="L14" s="54"/>
      <c r="M14" s="56"/>
      <c r="N14" s="46"/>
    </row>
    <row r="15" spans="6:15" ht="15" customHeight="1">
      <c r="F15" s="57" t="s">
        <v>65</v>
      </c>
      <c r="G15" s="58"/>
      <c r="H15" s="59" t="s">
        <v>66</v>
      </c>
      <c r="I15" s="59" t="s">
        <v>67</v>
      </c>
      <c r="J15" s="59" t="s">
        <v>68</v>
      </c>
      <c r="K15" s="59" t="s">
        <v>69</v>
      </c>
      <c r="L15" s="59" t="s">
        <v>70</v>
      </c>
      <c r="M15" s="60" t="s">
        <v>71</v>
      </c>
    </row>
    <row r="16" spans="6:15" ht="15" customHeight="1">
      <c r="F16" s="61" t="s">
        <v>72</v>
      </c>
      <c r="G16" s="49"/>
      <c r="H16" s="62" cm="1">
        <f t="array" ref="H16">IF('Manpower Projection'!J4="None",'Manpower Projection'!O4,'Labor Projection'!G10)</f>
        <v>290</v>
      </c>
      <c r="I16" s="63" cm="1">
        <f t="array" ref="I16">IF('Manpower Projection'!J4="None",'Manpower Projection'!N4,'Labor Projection'!R10)</f>
        <v>14989.169999999998</v>
      </c>
      <c r="J16" s="64" t="str">
        <f>IF('Manpower Projection'!J4="None",'Manpower Projection'!M4,'Manpower Projection'!J4)</f>
        <v>9240.130000000</v>
      </c>
      <c r="K16" s="63">
        <f t="shared" ref="K16:K20" si="0">I16+J16</f>
        <v>24229.299999999996</v>
      </c>
      <c r="L16" s="63">
        <f>ROUND(I16/H16,2)</f>
        <v>51.69</v>
      </c>
      <c r="M16" s="65">
        <f t="shared" ref="M16:M20" si="1">K16/H16</f>
        <v>83.549310344827575</v>
      </c>
    </row>
    <row r="17" spans="1:26" ht="15" customHeight="1">
      <c r="F17" s="66" t="s">
        <v>73</v>
      </c>
      <c r="H17" s="55" cm="1">
        <f t="array" ref="H17">K25</f>
        <v>0</v>
      </c>
      <c r="I17" s="67">
        <f>H17*N25</f>
        <v>0</v>
      </c>
      <c r="J17" s="67">
        <f>(H17*O25)-I17</f>
        <v>0</v>
      </c>
      <c r="K17" s="67" t="e">
        <f>H17*I14</f>
        <v>#DIV/0!</v>
      </c>
      <c r="L17" s="67" t="e">
        <f t="shared" ref="L17:L20" si="2">I17/H17</f>
        <v>#DIV/0!</v>
      </c>
      <c r="M17" s="68" t="e">
        <f t="shared" si="1"/>
        <v>#DIV/0!</v>
      </c>
      <c r="O17" s="46"/>
    </row>
    <row r="18" spans="1:26" ht="15" customHeight="1">
      <c r="F18" s="66"/>
      <c r="H18" s="52"/>
      <c r="I18" s="69"/>
      <c r="J18" s="69"/>
      <c r="K18" s="69"/>
      <c r="L18" s="69"/>
      <c r="M18" s="70"/>
    </row>
    <row r="19" spans="1:26" ht="15" customHeight="1">
      <c r="F19" s="66" t="s">
        <v>74</v>
      </c>
      <c r="H19" s="52">
        <f t="shared" ref="H19:K19" si="3">H16+H17</f>
        <v>290</v>
      </c>
      <c r="I19" s="69">
        <f t="shared" si="3"/>
        <v>14989.169999999998</v>
      </c>
      <c r="J19" s="69">
        <f t="shared" si="3"/>
        <v>9240.1299999999992</v>
      </c>
      <c r="K19" s="69" t="e">
        <f t="shared" si="3"/>
        <v>#DIV/0!</v>
      </c>
      <c r="L19" s="69">
        <f t="shared" si="2"/>
        <v>51.686793103448267</v>
      </c>
      <c r="M19" s="70" t="e">
        <f t="shared" si="1"/>
        <v>#DIV/0!</v>
      </c>
    </row>
    <row r="20" spans="1:26" ht="15" customHeight="1">
      <c r="F20" s="66" t="s">
        <v>75</v>
      </c>
      <c r="H20" s="52" t="e">
        <f>#REF!</f>
        <v>#REF!</v>
      </c>
      <c r="I20" s="69" t="e">
        <f>#REF!</f>
        <v>#REF!</v>
      </c>
      <c r="J20" s="69" t="e">
        <f>#REF!</f>
        <v>#REF!</v>
      </c>
      <c r="K20" s="69" t="e">
        <f t="shared" si="0"/>
        <v>#REF!</v>
      </c>
      <c r="L20" s="69" t="e">
        <f t="shared" si="2"/>
        <v>#REF!</v>
      </c>
      <c r="M20" s="70" t="e">
        <f t="shared" si="1"/>
        <v>#REF!</v>
      </c>
      <c r="O20" s="71">
        <f>'Manpower Projection'!H16</f>
        <v>290</v>
      </c>
    </row>
    <row r="21" spans="1:26" ht="15" customHeight="1">
      <c r="F21" s="72" t="s">
        <v>14</v>
      </c>
      <c r="G21" s="54"/>
      <c r="H21" s="73" t="e">
        <f t="shared" ref="H21:M21" si="4">H19-H20</f>
        <v>#REF!</v>
      </c>
      <c r="I21" s="74" t="e">
        <f t="shared" si="4"/>
        <v>#REF!</v>
      </c>
      <c r="J21" s="74" t="e">
        <f t="shared" si="4"/>
        <v>#REF!</v>
      </c>
      <c r="K21" s="74" t="e">
        <f t="shared" si="4"/>
        <v>#DIV/0!</v>
      </c>
      <c r="L21" s="74" t="e">
        <f t="shared" si="4"/>
        <v>#REF!</v>
      </c>
      <c r="M21" s="75" t="e">
        <f t="shared" si="4"/>
        <v>#DIV/0!</v>
      </c>
    </row>
    <row r="22" spans="1:26" ht="15" customHeight="1">
      <c r="F22" s="76"/>
    </row>
    <row r="23" spans="1:26" ht="15" customHeight="1">
      <c r="F23" s="76"/>
    </row>
    <row r="24" spans="1:26" ht="15" customHeight="1">
      <c r="F24" s="76"/>
      <c r="H24" s="77" t="s">
        <v>76</v>
      </c>
      <c r="I24" s="78" t="s">
        <v>77</v>
      </c>
      <c r="J24" s="78" t="s">
        <v>78</v>
      </c>
      <c r="K24" s="79" t="s">
        <v>66</v>
      </c>
      <c r="L24" s="77" t="s">
        <v>79</v>
      </c>
      <c r="M24" s="78" t="s">
        <v>80</v>
      </c>
      <c r="N24" s="80" t="s">
        <v>81</v>
      </c>
      <c r="O24" s="81" t="s">
        <v>82</v>
      </c>
    </row>
    <row r="25" spans="1:26" ht="15" customHeight="1">
      <c r="F25" s="51" t="s">
        <v>83</v>
      </c>
      <c r="H25" s="82">
        <f>AVERAGE('Manpower Projection'!H29:H5000)</f>
        <v>4.5454545454545459</v>
      </c>
      <c r="I25" s="82">
        <f>AVERAGE('Manpower Projection'!I29:I5000)</f>
        <v>10</v>
      </c>
      <c r="J25" s="82">
        <f>AVERAGE('Manpower Projection'!J29:J5000)</f>
        <v>4</v>
      </c>
      <c r="K25" s="82">
        <f>SUMIF('Manpower Projection'!G29:G5000,"",'Manpower Projection'!K29:K5000)</f>
        <v>0</v>
      </c>
      <c r="L25" s="83">
        <f>'Labor Projection'!L10</f>
        <v>12624.475796338098</v>
      </c>
      <c r="M25" s="83">
        <f>K25-L25</f>
        <v>-12624.475796338098</v>
      </c>
      <c r="N25" s="84">
        <f>N27/H27</f>
        <v>51.689999999999991</v>
      </c>
      <c r="O25" s="84">
        <f>O27/H27</f>
        <v>83.549310344827589</v>
      </c>
    </row>
    <row r="26" spans="1:26" s="44" customFormat="1" ht="15" customHeight="1"/>
    <row r="27" spans="1:26" ht="36" customHeight="1">
      <c r="A27" s="85"/>
      <c r="B27" s="85"/>
      <c r="C27" s="85"/>
      <c r="D27" s="85"/>
      <c r="E27" s="85"/>
      <c r="F27" s="86" t="s">
        <v>84</v>
      </c>
      <c r="G27" s="86" t="s">
        <v>85</v>
      </c>
      <c r="H27" s="86">
        <f t="shared" ref="H27:O27" si="5">SUBTOTAL(9,H29:H528)</f>
        <v>50</v>
      </c>
      <c r="I27" s="86">
        <f t="shared" si="5"/>
        <v>110</v>
      </c>
      <c r="J27" s="86">
        <f t="shared" si="5"/>
        <v>44</v>
      </c>
      <c r="K27" s="86">
        <f t="shared" si="5"/>
        <v>2000</v>
      </c>
      <c r="L27" s="86" t="s">
        <v>85</v>
      </c>
      <c r="M27" s="86" t="s">
        <v>85</v>
      </c>
      <c r="N27" s="87">
        <f t="shared" si="5"/>
        <v>2584.4999999999995</v>
      </c>
      <c r="O27" s="87">
        <f t="shared" si="5"/>
        <v>4177.4655172413795</v>
      </c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38.25" customHeight="1">
      <c r="F28" s="88" t="s">
        <v>86</v>
      </c>
      <c r="G28" s="89" t="s">
        <v>87</v>
      </c>
      <c r="H28" s="89" t="s">
        <v>88</v>
      </c>
      <c r="I28" s="89" t="s">
        <v>89</v>
      </c>
      <c r="J28" s="89" t="s">
        <v>90</v>
      </c>
      <c r="K28" s="90" t="s">
        <v>59</v>
      </c>
      <c r="L28" s="89" t="s">
        <v>56</v>
      </c>
      <c r="M28" s="91" t="s">
        <v>91</v>
      </c>
      <c r="N28" s="92" t="s">
        <v>81</v>
      </c>
      <c r="O28" s="93" t="s">
        <v>82</v>
      </c>
    </row>
    <row r="29" spans="1:26" ht="15" customHeight="1">
      <c r="F29" s="94">
        <v>45968</v>
      </c>
      <c r="G29" s="95"/>
      <c r="H29" s="95"/>
      <c r="I29" s="95"/>
      <c r="J29" s="95"/>
      <c r="K29" s="95">
        <f>IFERROR('Manpower Projection'!H29*'Manpower Projection'!I29*'Manpower Projection'!J29,0)</f>
        <v>0</v>
      </c>
      <c r="L29" s="96" cm="1">
        <f t="array" ref="L29">'Manpower Projection'!$L$16</f>
        <v>51.69</v>
      </c>
      <c r="M29" s="96">
        <f>'Manpower Projection'!$M$16</f>
        <v>83.549310344827575</v>
      </c>
      <c r="N29" s="96">
        <f>IFERROR('Manpower Projection'!H29*'Manpower Projection'!L29,"")</f>
        <v>0</v>
      </c>
      <c r="O29" s="96">
        <f>IFERROR('Manpower Projection'!M29*'Manpower Projection'!H29,"")</f>
        <v>0</v>
      </c>
    </row>
    <row r="30" spans="1:26" ht="15" customHeight="1">
      <c r="F30" s="94">
        <v>45975</v>
      </c>
      <c r="G30" s="95"/>
      <c r="H30" s="95"/>
      <c r="I30" s="95"/>
      <c r="J30" s="95"/>
      <c r="K30" s="95">
        <f>IFERROR('Manpower Projection'!H30*'Manpower Projection'!I30*'Manpower Projection'!J30,0)</f>
        <v>0</v>
      </c>
      <c r="L30" s="96" cm="1">
        <f t="array" ref="L30">'Manpower Projection'!$L$16</f>
        <v>51.69</v>
      </c>
      <c r="M30" s="96">
        <f>'Manpower Projection'!$M$16</f>
        <v>83.549310344827575</v>
      </c>
      <c r="N30" s="96">
        <f>IFERROR('Manpower Projection'!H30*'Manpower Projection'!L30,"")</f>
        <v>0</v>
      </c>
      <c r="O30" s="96">
        <f>IFERROR('Manpower Projection'!M30*'Manpower Projection'!H30,"")</f>
        <v>0</v>
      </c>
    </row>
    <row r="31" spans="1:26" ht="15" customHeight="1">
      <c r="F31" s="94">
        <v>45982</v>
      </c>
      <c r="G31" s="95"/>
      <c r="H31" s="95"/>
      <c r="I31" s="95"/>
      <c r="J31" s="95"/>
      <c r="K31" s="95">
        <f>IFERROR('Manpower Projection'!H31*'Manpower Projection'!I31*'Manpower Projection'!J31,0)</f>
        <v>0</v>
      </c>
      <c r="L31" s="96" cm="1">
        <f t="array" ref="L31">'Manpower Projection'!$L$16</f>
        <v>51.69</v>
      </c>
      <c r="M31" s="96">
        <f>'Manpower Projection'!$M$16</f>
        <v>83.549310344827575</v>
      </c>
      <c r="N31" s="96">
        <f>IFERROR('Manpower Projection'!H31*'Manpower Projection'!L31,"")</f>
        <v>0</v>
      </c>
      <c r="O31" s="96">
        <f>IFERROR('Manpower Projection'!M31*'Manpower Projection'!H31,"")</f>
        <v>0</v>
      </c>
    </row>
    <row r="32" spans="1:26" ht="15" customHeight="1">
      <c r="F32" s="94">
        <v>45989</v>
      </c>
      <c r="G32" s="95">
        <v>2</v>
      </c>
      <c r="H32" s="95">
        <v>2</v>
      </c>
      <c r="I32" s="95">
        <v>10</v>
      </c>
      <c r="J32" s="95">
        <v>4</v>
      </c>
      <c r="K32" s="95">
        <f>IFERROR('Manpower Projection'!H32*'Manpower Projection'!I32*'Manpower Projection'!J32,0)</f>
        <v>80</v>
      </c>
      <c r="L32" s="96" cm="1">
        <f t="array" ref="L32">'Manpower Projection'!$L$16</f>
        <v>51.69</v>
      </c>
      <c r="M32" s="96">
        <f>'Manpower Projection'!$M$16</f>
        <v>83.549310344827575</v>
      </c>
      <c r="N32" s="96">
        <f>IFERROR('Manpower Projection'!H32*'Manpower Projection'!L32,"")</f>
        <v>103.38</v>
      </c>
      <c r="O32" s="96">
        <f>IFERROR('Manpower Projection'!M32*'Manpower Projection'!H32,"")</f>
        <v>167.09862068965515</v>
      </c>
    </row>
    <row r="33" spans="6:15" ht="15" customHeight="1">
      <c r="F33" s="94">
        <v>45996</v>
      </c>
      <c r="G33" s="95">
        <v>2</v>
      </c>
      <c r="H33" s="95">
        <v>2</v>
      </c>
      <c r="I33" s="95">
        <v>10</v>
      </c>
      <c r="J33" s="95">
        <v>4</v>
      </c>
      <c r="K33" s="95">
        <f>IFERROR('Manpower Projection'!H33*'Manpower Projection'!I33*'Manpower Projection'!J33,0)</f>
        <v>80</v>
      </c>
      <c r="L33" s="96" cm="1">
        <f t="array" ref="L33">'Manpower Projection'!$L$16</f>
        <v>51.69</v>
      </c>
      <c r="M33" s="96">
        <f>'Manpower Projection'!$M$16</f>
        <v>83.549310344827575</v>
      </c>
      <c r="N33" s="96">
        <f>IFERROR('Manpower Projection'!H33*'Manpower Projection'!L33,"")</f>
        <v>103.38</v>
      </c>
      <c r="O33" s="96">
        <f>IFERROR('Manpower Projection'!M33*'Manpower Projection'!H33,"")</f>
        <v>167.09862068965515</v>
      </c>
    </row>
    <row r="34" spans="6:15" ht="15" customHeight="1">
      <c r="F34" s="94">
        <v>46003</v>
      </c>
      <c r="G34" s="95">
        <v>2</v>
      </c>
      <c r="H34" s="95">
        <v>2</v>
      </c>
      <c r="I34" s="95">
        <v>10</v>
      </c>
      <c r="J34" s="95">
        <v>4</v>
      </c>
      <c r="K34" s="95">
        <f>IFERROR('Manpower Projection'!H34*'Manpower Projection'!I34*'Manpower Projection'!J34,0)</f>
        <v>80</v>
      </c>
      <c r="L34" s="96" cm="1">
        <f t="array" ref="L34">'Manpower Projection'!$L$16</f>
        <v>51.69</v>
      </c>
      <c r="M34" s="96">
        <f>'Manpower Projection'!$M$16</f>
        <v>83.549310344827575</v>
      </c>
      <c r="N34" s="96">
        <f>IFERROR('Manpower Projection'!H34*'Manpower Projection'!L34,"")</f>
        <v>103.38</v>
      </c>
      <c r="O34" s="96">
        <f>IFERROR('Manpower Projection'!M34*'Manpower Projection'!H34,"")</f>
        <v>167.09862068965515</v>
      </c>
    </row>
    <row r="35" spans="6:15" ht="15" customHeight="1">
      <c r="F35" s="94">
        <v>46010</v>
      </c>
      <c r="G35" s="95">
        <v>2</v>
      </c>
      <c r="H35" s="95">
        <v>2</v>
      </c>
      <c r="I35" s="95">
        <v>10</v>
      </c>
      <c r="J35" s="95">
        <v>4</v>
      </c>
      <c r="K35" s="95">
        <f>IFERROR('Manpower Projection'!H35*'Manpower Projection'!I35*'Manpower Projection'!J35,0)</f>
        <v>80</v>
      </c>
      <c r="L35" s="96" cm="1">
        <f t="array" ref="L35">'Manpower Projection'!$L$16</f>
        <v>51.69</v>
      </c>
      <c r="M35" s="96">
        <f>'Manpower Projection'!$M$16</f>
        <v>83.549310344827575</v>
      </c>
      <c r="N35" s="96">
        <f>IFERROR('Manpower Projection'!H35*'Manpower Projection'!L35,"")</f>
        <v>103.38</v>
      </c>
      <c r="O35" s="96">
        <f>IFERROR('Manpower Projection'!M35*'Manpower Projection'!H35,"")</f>
        <v>167.09862068965515</v>
      </c>
    </row>
    <row r="36" spans="6:15" ht="15" customHeight="1">
      <c r="F36" s="94">
        <v>46017</v>
      </c>
      <c r="G36" s="95">
        <v>6</v>
      </c>
      <c r="H36" s="95">
        <v>6</v>
      </c>
      <c r="I36" s="95">
        <v>10</v>
      </c>
      <c r="J36" s="95">
        <v>4</v>
      </c>
      <c r="K36" s="95">
        <f>IFERROR('Manpower Projection'!H36*'Manpower Projection'!I36*'Manpower Projection'!J36,0)</f>
        <v>240</v>
      </c>
      <c r="L36" s="96" cm="1">
        <f t="array" ref="L36">'Manpower Projection'!$L$16</f>
        <v>51.69</v>
      </c>
      <c r="M36" s="96">
        <f>'Manpower Projection'!$M$16</f>
        <v>83.549310344827575</v>
      </c>
      <c r="N36" s="96">
        <f>IFERROR('Manpower Projection'!H36*'Manpower Projection'!L36,"")</f>
        <v>310.14</v>
      </c>
      <c r="O36" s="96">
        <f>IFERROR('Manpower Projection'!M36*'Manpower Projection'!H36,"")</f>
        <v>501.29586206896545</v>
      </c>
    </row>
    <row r="37" spans="6:15" ht="15" customHeight="1">
      <c r="F37" s="94">
        <v>46024</v>
      </c>
      <c r="G37" s="95">
        <v>6</v>
      </c>
      <c r="H37" s="95">
        <v>6</v>
      </c>
      <c r="I37" s="95">
        <v>10</v>
      </c>
      <c r="J37" s="95">
        <v>4</v>
      </c>
      <c r="K37" s="95">
        <f>IFERROR('Manpower Projection'!H37*'Manpower Projection'!I37*'Manpower Projection'!J37,0)</f>
        <v>240</v>
      </c>
      <c r="L37" s="96" cm="1">
        <f t="array" ref="L37">'Manpower Projection'!$L$16</f>
        <v>51.69</v>
      </c>
      <c r="M37" s="96">
        <f>'Manpower Projection'!$M$16</f>
        <v>83.549310344827575</v>
      </c>
      <c r="N37" s="96">
        <f>IFERROR('Manpower Projection'!H37*'Manpower Projection'!L37,"")</f>
        <v>310.14</v>
      </c>
      <c r="O37" s="96">
        <f>IFERROR('Manpower Projection'!M37*'Manpower Projection'!H37,"")</f>
        <v>501.29586206896545</v>
      </c>
    </row>
    <row r="38" spans="6:15" ht="15" customHeight="1">
      <c r="F38" s="94">
        <v>46031</v>
      </c>
      <c r="G38" s="95">
        <v>6</v>
      </c>
      <c r="H38" s="95">
        <v>6</v>
      </c>
      <c r="I38" s="95">
        <v>10</v>
      </c>
      <c r="J38" s="95">
        <v>4</v>
      </c>
      <c r="K38" s="95">
        <f>IFERROR('Manpower Projection'!H38*'Manpower Projection'!I38*'Manpower Projection'!J38,0)</f>
        <v>240</v>
      </c>
      <c r="L38" s="96" cm="1">
        <f t="array" ref="L38">'Manpower Projection'!$L$16</f>
        <v>51.69</v>
      </c>
      <c r="M38" s="96">
        <f>'Manpower Projection'!$M$16</f>
        <v>83.549310344827575</v>
      </c>
      <c r="N38" s="96">
        <f>IFERROR('Manpower Projection'!H38*'Manpower Projection'!L38,"")</f>
        <v>310.14</v>
      </c>
      <c r="O38" s="96">
        <f>IFERROR('Manpower Projection'!M38*'Manpower Projection'!H38,"")</f>
        <v>501.29586206896545</v>
      </c>
    </row>
    <row r="39" spans="6:15" ht="15" customHeight="1">
      <c r="F39" s="94">
        <v>46038</v>
      </c>
      <c r="G39" s="95">
        <v>6</v>
      </c>
      <c r="H39" s="95">
        <v>6</v>
      </c>
      <c r="I39" s="95">
        <v>10</v>
      </c>
      <c r="J39" s="95">
        <v>4</v>
      </c>
      <c r="K39" s="95">
        <f>IFERROR('Manpower Projection'!H39*'Manpower Projection'!I39*'Manpower Projection'!J39,0)</f>
        <v>240</v>
      </c>
      <c r="L39" s="96" cm="1">
        <f t="array" ref="L39">'Manpower Projection'!$L$16</f>
        <v>51.69</v>
      </c>
      <c r="M39" s="96">
        <f>'Manpower Projection'!$M$16</f>
        <v>83.549310344827575</v>
      </c>
      <c r="N39" s="96">
        <f>IFERROR('Manpower Projection'!H39*'Manpower Projection'!L39,"")</f>
        <v>310.14</v>
      </c>
      <c r="O39" s="96">
        <f>IFERROR('Manpower Projection'!M39*'Manpower Projection'!H39,"")</f>
        <v>501.29586206896545</v>
      </c>
    </row>
    <row r="40" spans="6:15" ht="15" customHeight="1">
      <c r="F40" s="94">
        <v>46045</v>
      </c>
      <c r="G40" s="95">
        <v>6</v>
      </c>
      <c r="H40" s="95">
        <v>6</v>
      </c>
      <c r="I40" s="95">
        <v>10</v>
      </c>
      <c r="J40" s="95">
        <v>4</v>
      </c>
      <c r="K40" s="95">
        <f>IFERROR('Manpower Projection'!H40*'Manpower Projection'!I40*'Manpower Projection'!J40,0)</f>
        <v>240</v>
      </c>
      <c r="L40" s="96" cm="1">
        <f t="array" ref="L40">'Manpower Projection'!$L$16</f>
        <v>51.69</v>
      </c>
      <c r="M40" s="96">
        <f>'Manpower Projection'!$M$16</f>
        <v>83.549310344827575</v>
      </c>
      <c r="N40" s="96">
        <f>IFERROR('Manpower Projection'!H40*'Manpower Projection'!L40,"")</f>
        <v>310.14</v>
      </c>
      <c r="O40" s="96">
        <f>IFERROR('Manpower Projection'!M40*'Manpower Projection'!H40,"")</f>
        <v>501.29586206896545</v>
      </c>
    </row>
    <row r="41" spans="6:15" ht="15" customHeight="1">
      <c r="F41" s="94">
        <v>46052</v>
      </c>
      <c r="G41" s="95">
        <v>6</v>
      </c>
      <c r="H41" s="95">
        <v>6</v>
      </c>
      <c r="I41" s="95">
        <v>10</v>
      </c>
      <c r="J41" s="95">
        <v>4</v>
      </c>
      <c r="K41" s="95">
        <f>IFERROR('Manpower Projection'!H41*'Manpower Projection'!I41*'Manpower Projection'!J41,0)</f>
        <v>240</v>
      </c>
      <c r="L41" s="96" cm="1">
        <f t="array" ref="L41">'Manpower Projection'!$L$16</f>
        <v>51.69</v>
      </c>
      <c r="M41" s="96">
        <f>'Manpower Projection'!$M$16</f>
        <v>83.549310344827575</v>
      </c>
      <c r="N41" s="96">
        <f>IFERROR('Manpower Projection'!H41*'Manpower Projection'!L41,"")</f>
        <v>310.14</v>
      </c>
      <c r="O41" s="96">
        <f>IFERROR('Manpower Projection'!M41*'Manpower Projection'!H41,"")</f>
        <v>501.29586206896545</v>
      </c>
    </row>
    <row r="42" spans="6:15" ht="15" customHeight="1">
      <c r="F42" s="94">
        <v>46059</v>
      </c>
      <c r="G42" s="95">
        <v>6</v>
      </c>
      <c r="H42" s="95">
        <v>6</v>
      </c>
      <c r="I42" s="95">
        <v>10</v>
      </c>
      <c r="J42" s="95">
        <v>4</v>
      </c>
      <c r="K42" s="95">
        <f>IFERROR('Manpower Projection'!H42*'Manpower Projection'!I42*'Manpower Projection'!J42,0)</f>
        <v>240</v>
      </c>
      <c r="L42" s="96" cm="1">
        <f t="array" ref="L42">'Manpower Projection'!$L$16</f>
        <v>51.69</v>
      </c>
      <c r="M42" s="96">
        <f>'Manpower Projection'!$M$16</f>
        <v>83.549310344827575</v>
      </c>
      <c r="N42" s="96">
        <f>IFERROR('Manpower Projection'!H42*'Manpower Projection'!L42,"")</f>
        <v>310.14</v>
      </c>
      <c r="O42" s="96">
        <f>IFERROR('Manpower Projection'!M42*'Manpower Projection'!H42,"")</f>
        <v>501.29586206896545</v>
      </c>
    </row>
    <row r="43" spans="6:15" ht="15" customHeight="1">
      <c r="F43" s="94">
        <v>46066</v>
      </c>
      <c r="G43" s="95"/>
      <c r="H43" s="95"/>
      <c r="I43" s="95"/>
      <c r="J43" s="95"/>
      <c r="K43" s="95">
        <f>IFERROR('Manpower Projection'!H43*'Manpower Projection'!I43*'Manpower Projection'!J43,0)</f>
        <v>0</v>
      </c>
      <c r="L43" s="96" cm="1">
        <f t="array" ref="L43">'Manpower Projection'!$L$16</f>
        <v>51.69</v>
      </c>
      <c r="M43" s="96">
        <f>'Manpower Projection'!$M$16</f>
        <v>83.549310344827575</v>
      </c>
      <c r="N43" s="96">
        <f>IFERROR('Manpower Projection'!H43*'Manpower Projection'!L43,"")</f>
        <v>0</v>
      </c>
      <c r="O43" s="96">
        <f>IFERROR('Manpower Projection'!M43*'Manpower Projection'!H43,"")</f>
        <v>0</v>
      </c>
    </row>
    <row r="44" spans="6:15" ht="15" customHeight="1">
      <c r="F44" s="94">
        <v>46073</v>
      </c>
      <c r="G44" s="95"/>
      <c r="H44" s="95"/>
      <c r="I44" s="95"/>
      <c r="J44" s="95"/>
      <c r="K44" s="95">
        <f>IFERROR('Manpower Projection'!H44*'Manpower Projection'!I44*'Manpower Projection'!J44,0)</f>
        <v>0</v>
      </c>
      <c r="L44" s="96" cm="1">
        <f t="array" ref="L44">'Manpower Projection'!$L$16</f>
        <v>51.69</v>
      </c>
      <c r="M44" s="96">
        <f>'Manpower Projection'!$M$16</f>
        <v>83.549310344827575</v>
      </c>
      <c r="N44" s="96">
        <f>IFERROR('Manpower Projection'!H44*'Manpower Projection'!L44,"")</f>
        <v>0</v>
      </c>
      <c r="O44" s="96">
        <f>IFERROR('Manpower Projection'!M44*'Manpower Projection'!H44,"")</f>
        <v>0</v>
      </c>
    </row>
    <row r="45" spans="6:15" ht="15" customHeight="1">
      <c r="F45" s="94">
        <v>46080</v>
      </c>
      <c r="G45" s="95"/>
      <c r="H45" s="95"/>
      <c r="I45" s="95"/>
      <c r="J45" s="95"/>
      <c r="K45" s="95">
        <f>IFERROR('Manpower Projection'!H45*'Manpower Projection'!I45*'Manpower Projection'!J45,0)</f>
        <v>0</v>
      </c>
      <c r="L45" s="96" cm="1">
        <f t="array" ref="L45">'Manpower Projection'!$L$16</f>
        <v>51.69</v>
      </c>
      <c r="M45" s="96">
        <f>'Manpower Projection'!$M$16</f>
        <v>83.549310344827575</v>
      </c>
      <c r="N45" s="96">
        <f>IFERROR('Manpower Projection'!H45*'Manpower Projection'!L45,"")</f>
        <v>0</v>
      </c>
      <c r="O45" s="96">
        <f>IFERROR('Manpower Projection'!M45*'Manpower Projection'!H45,"")</f>
        <v>0</v>
      </c>
    </row>
    <row r="46" spans="6:15" ht="15" customHeight="1">
      <c r="F46" s="94">
        <v>46087</v>
      </c>
      <c r="G46" s="95"/>
      <c r="H46" s="95"/>
      <c r="I46" s="95"/>
      <c r="J46" s="95"/>
      <c r="K46" s="95">
        <f>IFERROR('Manpower Projection'!H46*'Manpower Projection'!I46*'Manpower Projection'!J46,0)</f>
        <v>0</v>
      </c>
      <c r="L46" s="96" cm="1">
        <f t="array" ref="L46">'Manpower Projection'!$L$16</f>
        <v>51.69</v>
      </c>
      <c r="M46" s="96">
        <f>'Manpower Projection'!$M$16</f>
        <v>83.549310344827575</v>
      </c>
      <c r="N46" s="96">
        <f>IFERROR('Manpower Projection'!H46*'Manpower Projection'!L46,"")</f>
        <v>0</v>
      </c>
      <c r="O46" s="96">
        <f>IFERROR('Manpower Projection'!M46*'Manpower Projection'!H46,"")</f>
        <v>0</v>
      </c>
    </row>
    <row r="47" spans="6:15" ht="15" customHeight="1">
      <c r="F47" s="94">
        <v>46094</v>
      </c>
      <c r="G47" s="95"/>
      <c r="H47" s="95"/>
      <c r="I47" s="95"/>
      <c r="J47" s="95"/>
      <c r="K47" s="95">
        <f>IFERROR('Manpower Projection'!H47*'Manpower Projection'!I47*'Manpower Projection'!J47,0)</f>
        <v>0</v>
      </c>
      <c r="L47" s="96" cm="1">
        <f t="array" ref="L47">'Manpower Projection'!$L$16</f>
        <v>51.69</v>
      </c>
      <c r="M47" s="96">
        <f>'Manpower Projection'!$M$16</f>
        <v>83.549310344827575</v>
      </c>
      <c r="N47" s="96">
        <f>IFERROR('Manpower Projection'!H47*'Manpower Projection'!L47,"")</f>
        <v>0</v>
      </c>
      <c r="O47" s="96">
        <f>IFERROR('Manpower Projection'!M47*'Manpower Projection'!H47,"")</f>
        <v>0</v>
      </c>
    </row>
    <row r="48" spans="6:15" ht="15" customHeight="1">
      <c r="F48" s="94">
        <v>46101</v>
      </c>
      <c r="G48" s="95"/>
      <c r="H48" s="95"/>
      <c r="I48" s="95"/>
      <c r="J48" s="95"/>
      <c r="K48" s="95">
        <f>IFERROR('Manpower Projection'!H48*'Manpower Projection'!I48*'Manpower Projection'!J48,0)</f>
        <v>0</v>
      </c>
      <c r="L48" s="96" cm="1">
        <f t="array" ref="L48">'Manpower Projection'!$L$16</f>
        <v>51.69</v>
      </c>
      <c r="M48" s="96">
        <f>'Manpower Projection'!$M$16</f>
        <v>83.549310344827575</v>
      </c>
      <c r="N48" s="96">
        <f>IFERROR('Manpower Projection'!H48*'Manpower Projection'!L48,"")</f>
        <v>0</v>
      </c>
      <c r="O48" s="96">
        <f>IFERROR('Manpower Projection'!M48*'Manpower Projection'!H48,"")</f>
        <v>0</v>
      </c>
    </row>
    <row r="49" spans="6:15" ht="15" customHeight="1">
      <c r="F49" s="94">
        <v>46108</v>
      </c>
      <c r="G49" s="95"/>
      <c r="H49" s="95"/>
      <c r="I49" s="95"/>
      <c r="J49" s="95"/>
      <c r="K49" s="95">
        <f>IFERROR('Manpower Projection'!H49*'Manpower Projection'!I49*'Manpower Projection'!J49,0)</f>
        <v>0</v>
      </c>
      <c r="L49" s="96" cm="1">
        <f t="array" ref="L49">'Manpower Projection'!$L$16</f>
        <v>51.69</v>
      </c>
      <c r="M49" s="96">
        <f>'Manpower Projection'!$M$16</f>
        <v>83.549310344827575</v>
      </c>
      <c r="N49" s="96">
        <f>IFERROR('Manpower Projection'!H49*'Manpower Projection'!L49,"")</f>
        <v>0</v>
      </c>
      <c r="O49" s="96">
        <f>IFERROR('Manpower Projection'!M49*'Manpower Projection'!H49,"")</f>
        <v>0</v>
      </c>
    </row>
    <row r="50" spans="6:15" ht="15" customHeight="1">
      <c r="F50" s="94">
        <v>46115</v>
      </c>
      <c r="G50" s="95"/>
      <c r="H50" s="95"/>
      <c r="I50" s="95"/>
      <c r="J50" s="95"/>
      <c r="K50" s="95">
        <f>IFERROR('Manpower Projection'!H50*'Manpower Projection'!I50*'Manpower Projection'!J50,0)</f>
        <v>0</v>
      </c>
      <c r="L50" s="96" cm="1">
        <f t="array" ref="L50">'Manpower Projection'!$L$16</f>
        <v>51.69</v>
      </c>
      <c r="M50" s="96">
        <f>'Manpower Projection'!$M$16</f>
        <v>83.549310344827575</v>
      </c>
      <c r="N50" s="96">
        <f>IFERROR('Manpower Projection'!H50*'Manpower Projection'!L50,"")</f>
        <v>0</v>
      </c>
      <c r="O50" s="96">
        <f>IFERROR('Manpower Projection'!M50*'Manpower Projection'!H50,"")</f>
        <v>0</v>
      </c>
    </row>
    <row r="51" spans="6:15" ht="15" customHeight="1">
      <c r="F51" s="94">
        <v>46122</v>
      </c>
      <c r="G51" s="95"/>
      <c r="H51" s="95"/>
      <c r="I51" s="95"/>
      <c r="J51" s="95"/>
      <c r="K51" s="95">
        <f>IFERROR('Manpower Projection'!H51*'Manpower Projection'!I51*'Manpower Projection'!J51,0)</f>
        <v>0</v>
      </c>
      <c r="L51" s="96" cm="1">
        <f t="array" ref="L51">'Manpower Projection'!$L$16</f>
        <v>51.69</v>
      </c>
      <c r="M51" s="96">
        <f>'Manpower Projection'!$M$16</f>
        <v>83.549310344827575</v>
      </c>
      <c r="N51" s="96">
        <f>IFERROR('Manpower Projection'!H51*'Manpower Projection'!L51,"")</f>
        <v>0</v>
      </c>
      <c r="O51" s="96">
        <f>IFERROR('Manpower Projection'!M51*'Manpower Projection'!H51,"")</f>
        <v>0</v>
      </c>
    </row>
    <row r="52" spans="6:15" ht="15" customHeight="1">
      <c r="F52" s="94">
        <v>46129</v>
      </c>
      <c r="G52" s="95"/>
      <c r="H52" s="95"/>
      <c r="I52" s="95"/>
      <c r="J52" s="95"/>
      <c r="K52" s="95">
        <f>IFERROR('Manpower Projection'!H52*'Manpower Projection'!I52*'Manpower Projection'!J52,0)</f>
        <v>0</v>
      </c>
      <c r="L52" s="96" cm="1">
        <f t="array" ref="L52">'Manpower Projection'!$L$16</f>
        <v>51.69</v>
      </c>
      <c r="M52" s="96">
        <f>'Manpower Projection'!$M$16</f>
        <v>83.549310344827575</v>
      </c>
      <c r="N52" s="96">
        <f>IFERROR('Manpower Projection'!H52*'Manpower Projection'!L52,"")</f>
        <v>0</v>
      </c>
      <c r="O52" s="96">
        <f>IFERROR('Manpower Projection'!M52*'Manpower Projection'!H52,"")</f>
        <v>0</v>
      </c>
    </row>
    <row r="53" spans="6:15" ht="15" customHeight="1">
      <c r="F53" s="94">
        <v>46136</v>
      </c>
      <c r="G53" s="95"/>
      <c r="H53" s="95"/>
      <c r="I53" s="95"/>
      <c r="J53" s="95"/>
      <c r="K53" s="95">
        <f>IFERROR('Manpower Projection'!H53*'Manpower Projection'!I53*'Manpower Projection'!J53,0)</f>
        <v>0</v>
      </c>
      <c r="L53" s="96" cm="1">
        <f t="array" ref="L53">'Manpower Projection'!$L$16</f>
        <v>51.69</v>
      </c>
      <c r="M53" s="96">
        <f>'Manpower Projection'!$M$16</f>
        <v>83.549310344827575</v>
      </c>
      <c r="N53" s="96">
        <f>IFERROR('Manpower Projection'!H53*'Manpower Projection'!L53,"")</f>
        <v>0</v>
      </c>
      <c r="O53" s="96">
        <f>IFERROR('Manpower Projection'!M53*'Manpower Projection'!H53,"")</f>
        <v>0</v>
      </c>
    </row>
    <row r="54" spans="6:15" ht="15" customHeight="1">
      <c r="F54" s="94">
        <v>46143</v>
      </c>
      <c r="G54" s="95"/>
      <c r="H54" s="95"/>
      <c r="I54" s="95"/>
      <c r="J54" s="95"/>
      <c r="K54" s="95">
        <f>IFERROR('Manpower Projection'!H54*'Manpower Projection'!I54*'Manpower Projection'!J54,0)</f>
        <v>0</v>
      </c>
      <c r="L54" s="96" cm="1">
        <f t="array" ref="L54">'Manpower Projection'!$L$16</f>
        <v>51.69</v>
      </c>
      <c r="M54" s="96">
        <f>'Manpower Projection'!$M$16</f>
        <v>83.549310344827575</v>
      </c>
      <c r="N54" s="96">
        <f>IFERROR('Manpower Projection'!H54*'Manpower Projection'!L54,"")</f>
        <v>0</v>
      </c>
      <c r="O54" s="96">
        <f>IFERROR('Manpower Projection'!M54*'Manpower Projection'!H54,"")</f>
        <v>0</v>
      </c>
    </row>
    <row r="55" spans="6:15" ht="15" customHeight="1">
      <c r="F55" s="94">
        <v>46150</v>
      </c>
      <c r="G55" s="95"/>
      <c r="H55" s="95"/>
      <c r="I55" s="95"/>
      <c r="J55" s="95"/>
      <c r="K55" s="95">
        <f>IFERROR('Manpower Projection'!H55*'Manpower Projection'!I55*'Manpower Projection'!J55,0)</f>
        <v>0</v>
      </c>
      <c r="L55" s="96" cm="1">
        <f t="array" ref="L55">'Manpower Projection'!$L$16</f>
        <v>51.69</v>
      </c>
      <c r="M55" s="96">
        <f>'Manpower Projection'!$M$16</f>
        <v>83.549310344827575</v>
      </c>
      <c r="N55" s="96">
        <f>IFERROR('Manpower Projection'!H55*'Manpower Projection'!L55,"")</f>
        <v>0</v>
      </c>
      <c r="O55" s="96">
        <f>IFERROR('Manpower Projection'!M55*'Manpower Projection'!H55,"")</f>
        <v>0</v>
      </c>
    </row>
    <row r="56" spans="6:15" ht="15" customHeight="1">
      <c r="F56" s="94">
        <v>46157</v>
      </c>
      <c r="G56" s="95"/>
      <c r="H56" s="95"/>
      <c r="I56" s="95"/>
      <c r="J56" s="95"/>
      <c r="K56" s="95">
        <f>IFERROR('Manpower Projection'!H56*'Manpower Projection'!I56*'Manpower Projection'!J56,0)</f>
        <v>0</v>
      </c>
      <c r="L56" s="96" cm="1">
        <f t="array" ref="L56">'Manpower Projection'!$L$16</f>
        <v>51.69</v>
      </c>
      <c r="M56" s="96">
        <f>'Manpower Projection'!$M$16</f>
        <v>83.549310344827575</v>
      </c>
      <c r="N56" s="96">
        <f>IFERROR('Manpower Projection'!H56*'Manpower Projection'!L56,"")</f>
        <v>0</v>
      </c>
      <c r="O56" s="96">
        <f>IFERROR('Manpower Projection'!M56*'Manpower Projection'!H56,"")</f>
        <v>0</v>
      </c>
    </row>
    <row r="57" spans="6:15" ht="15" customHeight="1">
      <c r="F57" s="94">
        <v>46164</v>
      </c>
      <c r="G57" s="95"/>
      <c r="H57" s="95"/>
      <c r="I57" s="95"/>
      <c r="J57" s="95"/>
      <c r="K57" s="95">
        <f>IFERROR('Manpower Projection'!H57*'Manpower Projection'!I57*'Manpower Projection'!J57,0)</f>
        <v>0</v>
      </c>
      <c r="L57" s="96" cm="1">
        <f t="array" ref="L57">'Manpower Projection'!$L$16</f>
        <v>51.69</v>
      </c>
      <c r="M57" s="96">
        <f>'Manpower Projection'!$M$16</f>
        <v>83.549310344827575</v>
      </c>
      <c r="N57" s="96">
        <f>IFERROR('Manpower Projection'!H57*'Manpower Projection'!L57,"")</f>
        <v>0</v>
      </c>
      <c r="O57" s="96">
        <f>IFERROR('Manpower Projection'!M57*'Manpower Projection'!H57,"")</f>
        <v>0</v>
      </c>
    </row>
    <row r="58" spans="6:15" ht="15" customHeight="1">
      <c r="F58" s="94">
        <v>46171</v>
      </c>
      <c r="G58" s="95"/>
      <c r="H58" s="95"/>
      <c r="I58" s="95"/>
      <c r="J58" s="95"/>
      <c r="K58" s="95">
        <f>IFERROR('Manpower Projection'!H58*'Manpower Projection'!I58*'Manpower Projection'!J58,0)</f>
        <v>0</v>
      </c>
      <c r="L58" s="96" cm="1">
        <f t="array" ref="L58">'Manpower Projection'!$L$16</f>
        <v>51.69</v>
      </c>
      <c r="M58" s="96">
        <f>'Manpower Projection'!$M$16</f>
        <v>83.549310344827575</v>
      </c>
      <c r="N58" s="96">
        <f>IFERROR('Manpower Projection'!H58*'Manpower Projection'!L58,"")</f>
        <v>0</v>
      </c>
      <c r="O58" s="96">
        <f>IFERROR('Manpower Projection'!M58*'Manpower Projection'!H58,"")</f>
        <v>0</v>
      </c>
    </row>
    <row r="59" spans="6:15" ht="15" customHeight="1">
      <c r="F59" s="94">
        <v>46178</v>
      </c>
      <c r="G59" s="95"/>
      <c r="H59" s="95"/>
      <c r="I59" s="95"/>
      <c r="J59" s="95"/>
      <c r="K59" s="95">
        <f>IFERROR('Manpower Projection'!H59*'Manpower Projection'!I59*'Manpower Projection'!J59,0)</f>
        <v>0</v>
      </c>
      <c r="L59" s="96" cm="1">
        <f t="array" ref="L59">'Manpower Projection'!$L$16</f>
        <v>51.69</v>
      </c>
      <c r="M59" s="96">
        <f>'Manpower Projection'!$M$16</f>
        <v>83.549310344827575</v>
      </c>
      <c r="N59" s="96">
        <f>IFERROR('Manpower Projection'!H59*'Manpower Projection'!L59,"")</f>
        <v>0</v>
      </c>
      <c r="O59" s="96">
        <f>IFERROR('Manpower Projection'!M59*'Manpower Projection'!H59,"")</f>
        <v>0</v>
      </c>
    </row>
    <row r="60" spans="6:15" ht="15" customHeight="1">
      <c r="F60" s="94">
        <v>46185</v>
      </c>
      <c r="G60" s="95"/>
      <c r="H60" s="95"/>
      <c r="I60" s="95"/>
      <c r="J60" s="95"/>
      <c r="K60" s="95">
        <f>IFERROR('Manpower Projection'!H60*'Manpower Projection'!I60*'Manpower Projection'!J60,0)</f>
        <v>0</v>
      </c>
      <c r="L60" s="96" cm="1">
        <f t="array" ref="L60">'Manpower Projection'!$L$16</f>
        <v>51.69</v>
      </c>
      <c r="M60" s="96">
        <f>'Manpower Projection'!$M$16</f>
        <v>83.549310344827575</v>
      </c>
      <c r="N60" s="96">
        <f>IFERROR('Manpower Projection'!H60*'Manpower Projection'!L60,"")</f>
        <v>0</v>
      </c>
      <c r="O60" s="96">
        <f>IFERROR('Manpower Projection'!M60*'Manpower Projection'!H60,"")</f>
        <v>0</v>
      </c>
    </row>
    <row r="61" spans="6:15" ht="15" customHeight="1">
      <c r="F61" s="94">
        <v>46192</v>
      </c>
      <c r="G61" s="95"/>
      <c r="H61" s="95"/>
      <c r="I61" s="95"/>
      <c r="J61" s="95"/>
      <c r="K61" s="95">
        <f>IFERROR('Manpower Projection'!H61*'Manpower Projection'!I61*'Manpower Projection'!J61,0)</f>
        <v>0</v>
      </c>
      <c r="L61" s="96" cm="1">
        <f t="array" ref="L61">'Manpower Projection'!$L$16</f>
        <v>51.69</v>
      </c>
      <c r="M61" s="96">
        <f>'Manpower Projection'!$M$16</f>
        <v>83.549310344827575</v>
      </c>
      <c r="N61" s="96">
        <f>IFERROR('Manpower Projection'!H61*'Manpower Projection'!L61,"")</f>
        <v>0</v>
      </c>
      <c r="O61" s="96">
        <f>IFERROR('Manpower Projection'!M61*'Manpower Projection'!H61,"")</f>
        <v>0</v>
      </c>
    </row>
    <row r="62" spans="6:15" ht="15" customHeight="1">
      <c r="F62" s="94">
        <v>46199</v>
      </c>
      <c r="G62" s="95"/>
      <c r="H62" s="95"/>
      <c r="I62" s="95"/>
      <c r="J62" s="95"/>
      <c r="K62" s="95">
        <f>IFERROR('Manpower Projection'!H62*'Manpower Projection'!I62*'Manpower Projection'!J62,0)</f>
        <v>0</v>
      </c>
      <c r="L62" s="96" cm="1">
        <f t="array" ref="L62">'Manpower Projection'!$L$16</f>
        <v>51.69</v>
      </c>
      <c r="M62" s="96">
        <f>'Manpower Projection'!$M$16</f>
        <v>83.549310344827575</v>
      </c>
      <c r="N62" s="96">
        <f>IFERROR('Manpower Projection'!H62*'Manpower Projection'!L62,"")</f>
        <v>0</v>
      </c>
      <c r="O62" s="96">
        <f>IFERROR('Manpower Projection'!M62*'Manpower Projection'!H62,"")</f>
        <v>0</v>
      </c>
    </row>
    <row r="63" spans="6:15" ht="15" customHeight="1">
      <c r="F63" s="94">
        <v>46206</v>
      </c>
      <c r="G63" s="95"/>
      <c r="H63" s="95"/>
      <c r="I63" s="95"/>
      <c r="J63" s="95"/>
      <c r="K63" s="95">
        <f>IFERROR('Manpower Projection'!H63*'Manpower Projection'!I63*'Manpower Projection'!J63,0)</f>
        <v>0</v>
      </c>
      <c r="L63" s="96" cm="1">
        <f t="array" ref="L63">'Manpower Projection'!$L$16</f>
        <v>51.69</v>
      </c>
      <c r="M63" s="96">
        <f>'Manpower Projection'!$M$16</f>
        <v>83.549310344827575</v>
      </c>
      <c r="N63" s="96">
        <f>IFERROR('Manpower Projection'!H63*'Manpower Projection'!L63,"")</f>
        <v>0</v>
      </c>
      <c r="O63" s="96">
        <f>IFERROR('Manpower Projection'!M63*'Manpower Projection'!H63,"")</f>
        <v>0</v>
      </c>
    </row>
    <row r="64" spans="6:15" ht="15" customHeight="1">
      <c r="F64" s="94">
        <v>46213</v>
      </c>
      <c r="G64" s="95"/>
      <c r="H64" s="95"/>
      <c r="I64" s="95"/>
      <c r="J64" s="95"/>
      <c r="K64" s="95">
        <f>IFERROR('Manpower Projection'!H64*'Manpower Projection'!I64*'Manpower Projection'!J64,0)</f>
        <v>0</v>
      </c>
      <c r="L64" s="96" cm="1">
        <f t="array" ref="L64">'Manpower Projection'!$L$16</f>
        <v>51.69</v>
      </c>
      <c r="M64" s="96">
        <f>'Manpower Projection'!$M$16</f>
        <v>83.549310344827575</v>
      </c>
      <c r="N64" s="96">
        <f>IFERROR('Manpower Projection'!H64*'Manpower Projection'!L64,"")</f>
        <v>0</v>
      </c>
      <c r="O64" s="96">
        <f>IFERROR('Manpower Projection'!M64*'Manpower Projection'!H64,"")</f>
        <v>0</v>
      </c>
    </row>
    <row r="65" spans="6:15" ht="15" customHeight="1">
      <c r="F65" s="94">
        <v>46220</v>
      </c>
      <c r="G65" s="95"/>
      <c r="H65" s="95"/>
      <c r="I65" s="95"/>
      <c r="J65" s="95"/>
      <c r="K65" s="95">
        <f>IFERROR('Manpower Projection'!H65*'Manpower Projection'!I65*'Manpower Projection'!J65,0)</f>
        <v>0</v>
      </c>
      <c r="L65" s="96" cm="1">
        <f t="array" ref="L65">'Manpower Projection'!$L$16</f>
        <v>51.69</v>
      </c>
      <c r="M65" s="96">
        <f>'Manpower Projection'!$M$16</f>
        <v>83.549310344827575</v>
      </c>
      <c r="N65" s="96">
        <f>IFERROR('Manpower Projection'!H65*'Manpower Projection'!L65,"")</f>
        <v>0</v>
      </c>
      <c r="O65" s="96">
        <f>IFERROR('Manpower Projection'!M65*'Manpower Projection'!H65,"")</f>
        <v>0</v>
      </c>
    </row>
    <row r="66" spans="6:15" ht="15" customHeight="1">
      <c r="F66" s="94">
        <v>46227</v>
      </c>
      <c r="G66" s="95"/>
      <c r="H66" s="95"/>
      <c r="I66" s="95"/>
      <c r="J66" s="95"/>
      <c r="K66" s="95">
        <f>IFERROR('Manpower Projection'!H66*'Manpower Projection'!I66*'Manpower Projection'!J66,0)</f>
        <v>0</v>
      </c>
      <c r="L66" s="96" cm="1">
        <f t="array" ref="L66">'Manpower Projection'!$L$16</f>
        <v>51.69</v>
      </c>
      <c r="M66" s="96">
        <f>'Manpower Projection'!$M$16</f>
        <v>83.549310344827575</v>
      </c>
      <c r="N66" s="96">
        <f>IFERROR('Manpower Projection'!H66*'Manpower Projection'!L66,"")</f>
        <v>0</v>
      </c>
      <c r="O66" s="96">
        <f>IFERROR('Manpower Projection'!M66*'Manpower Projection'!H66,"")</f>
        <v>0</v>
      </c>
    </row>
    <row r="67" spans="6:15" ht="15" customHeight="1">
      <c r="F67" s="94">
        <v>46234</v>
      </c>
      <c r="G67" s="95"/>
      <c r="H67" s="95"/>
      <c r="I67" s="95"/>
      <c r="J67" s="95"/>
      <c r="K67" s="95">
        <f>IFERROR('Manpower Projection'!H67*'Manpower Projection'!I67*'Manpower Projection'!J67,0)</f>
        <v>0</v>
      </c>
      <c r="L67" s="96" cm="1">
        <f t="array" ref="L67">'Manpower Projection'!$L$16</f>
        <v>51.69</v>
      </c>
      <c r="M67" s="96">
        <f>'Manpower Projection'!$M$16</f>
        <v>83.549310344827575</v>
      </c>
      <c r="N67" s="96">
        <f>IFERROR('Manpower Projection'!H67*'Manpower Projection'!L67,"")</f>
        <v>0</v>
      </c>
      <c r="O67" s="96">
        <f>IFERROR('Manpower Projection'!M67*'Manpower Projection'!H67,"")</f>
        <v>0</v>
      </c>
    </row>
    <row r="68" spans="6:15" ht="15" customHeight="1">
      <c r="F68" s="94">
        <v>46241</v>
      </c>
      <c r="G68" s="95"/>
      <c r="H68" s="95"/>
      <c r="I68" s="95"/>
      <c r="J68" s="95"/>
      <c r="K68" s="95">
        <f>IFERROR('Manpower Projection'!H68*'Manpower Projection'!I68*'Manpower Projection'!J68,0)</f>
        <v>0</v>
      </c>
      <c r="L68" s="96" cm="1">
        <f t="array" ref="L68">'Manpower Projection'!$L$16</f>
        <v>51.69</v>
      </c>
      <c r="M68" s="96">
        <f>'Manpower Projection'!$M$16</f>
        <v>83.549310344827575</v>
      </c>
      <c r="N68" s="96">
        <f>IFERROR('Manpower Projection'!H68*'Manpower Projection'!L68,"")</f>
        <v>0</v>
      </c>
      <c r="O68" s="96">
        <f>IFERROR('Manpower Projection'!M68*'Manpower Projection'!H68,"")</f>
        <v>0</v>
      </c>
    </row>
    <row r="69" spans="6:15" ht="15" customHeight="1">
      <c r="F69" s="94">
        <v>46248</v>
      </c>
      <c r="G69" s="95"/>
      <c r="H69" s="95"/>
      <c r="I69" s="95"/>
      <c r="J69" s="95"/>
      <c r="K69" s="95">
        <f>IFERROR('Manpower Projection'!H69*'Manpower Projection'!I69*'Manpower Projection'!J69,0)</f>
        <v>0</v>
      </c>
      <c r="L69" s="96" cm="1">
        <f t="array" ref="L69">'Manpower Projection'!$L$16</f>
        <v>51.69</v>
      </c>
      <c r="M69" s="96">
        <f>'Manpower Projection'!$M$16</f>
        <v>83.549310344827575</v>
      </c>
      <c r="N69" s="96">
        <f>IFERROR('Manpower Projection'!H69*'Manpower Projection'!L69,"")</f>
        <v>0</v>
      </c>
      <c r="O69" s="96">
        <f>IFERROR('Manpower Projection'!M69*'Manpower Projection'!H69,"")</f>
        <v>0</v>
      </c>
    </row>
    <row r="70" spans="6:15" ht="15" customHeight="1">
      <c r="F70" s="94">
        <v>46255</v>
      </c>
      <c r="G70" s="95"/>
      <c r="H70" s="95"/>
      <c r="I70" s="95"/>
      <c r="J70" s="95"/>
      <c r="K70" s="95">
        <f>IFERROR('Manpower Projection'!H70*'Manpower Projection'!I70*'Manpower Projection'!J70,0)</f>
        <v>0</v>
      </c>
      <c r="L70" s="96" cm="1">
        <f t="array" ref="L70">'Manpower Projection'!$L$16</f>
        <v>51.69</v>
      </c>
      <c r="M70" s="96">
        <f>'Manpower Projection'!$M$16</f>
        <v>83.549310344827575</v>
      </c>
      <c r="N70" s="96">
        <f>IFERROR('Manpower Projection'!H70*'Manpower Projection'!L70,"")</f>
        <v>0</v>
      </c>
      <c r="O70" s="96">
        <f>IFERROR('Manpower Projection'!M70*'Manpower Projection'!H70,"")</f>
        <v>0</v>
      </c>
    </row>
    <row r="71" spans="6:15" ht="15" customHeight="1">
      <c r="F71" s="94">
        <v>46262</v>
      </c>
      <c r="G71" s="95"/>
      <c r="H71" s="95"/>
      <c r="I71" s="95"/>
      <c r="J71" s="95"/>
      <c r="K71" s="95">
        <f>IFERROR('Manpower Projection'!H71*'Manpower Projection'!I71*'Manpower Projection'!J71,0)</f>
        <v>0</v>
      </c>
      <c r="L71" s="96" cm="1">
        <f t="array" ref="L71">'Manpower Projection'!$L$16</f>
        <v>51.69</v>
      </c>
      <c r="M71" s="96">
        <f>'Manpower Projection'!$M$16</f>
        <v>83.549310344827575</v>
      </c>
      <c r="N71" s="96">
        <f>IFERROR('Manpower Projection'!H71*'Manpower Projection'!L71,"")</f>
        <v>0</v>
      </c>
      <c r="O71" s="96">
        <f>IFERROR('Manpower Projection'!M71*'Manpower Projection'!H71,"")</f>
        <v>0</v>
      </c>
    </row>
    <row r="72" spans="6:15" ht="15" customHeight="1">
      <c r="F72" s="94">
        <v>46269</v>
      </c>
      <c r="G72" s="95"/>
      <c r="H72" s="95"/>
      <c r="I72" s="95"/>
      <c r="J72" s="95"/>
      <c r="K72" s="95">
        <f>IFERROR('Manpower Projection'!H72*'Manpower Projection'!I72*'Manpower Projection'!J72,0)</f>
        <v>0</v>
      </c>
      <c r="L72" s="96" cm="1">
        <f t="array" ref="L72">'Manpower Projection'!$L$16</f>
        <v>51.69</v>
      </c>
      <c r="M72" s="96">
        <f>'Manpower Projection'!$M$16</f>
        <v>83.549310344827575</v>
      </c>
      <c r="N72" s="96">
        <f>IFERROR('Manpower Projection'!H72*'Manpower Projection'!L72,"")</f>
        <v>0</v>
      </c>
      <c r="O72" s="96">
        <f>IFERROR('Manpower Projection'!M72*'Manpower Projection'!H72,"")</f>
        <v>0</v>
      </c>
    </row>
    <row r="73" spans="6:15" ht="15" customHeight="1">
      <c r="F73" s="94">
        <v>46276</v>
      </c>
      <c r="G73" s="95"/>
      <c r="H73" s="95"/>
      <c r="I73" s="95"/>
      <c r="J73" s="95"/>
      <c r="K73" s="95">
        <f>IFERROR('Manpower Projection'!H73*'Manpower Projection'!I73*'Manpower Projection'!J73,0)</f>
        <v>0</v>
      </c>
      <c r="L73" s="96" cm="1">
        <f t="array" ref="L73">'Manpower Projection'!$L$16</f>
        <v>51.69</v>
      </c>
      <c r="M73" s="96">
        <f>'Manpower Projection'!$M$16</f>
        <v>83.549310344827575</v>
      </c>
      <c r="N73" s="96">
        <f>IFERROR('Manpower Projection'!H73*'Manpower Projection'!L73,"")</f>
        <v>0</v>
      </c>
      <c r="O73" s="96">
        <f>IFERROR('Manpower Projection'!M73*'Manpower Projection'!H73,"")</f>
        <v>0</v>
      </c>
    </row>
    <row r="74" spans="6:15" ht="15" customHeight="1">
      <c r="F74" s="94">
        <v>46283</v>
      </c>
      <c r="G74" s="95"/>
      <c r="H74" s="95"/>
      <c r="I74" s="95"/>
      <c r="J74" s="95"/>
      <c r="K74" s="95">
        <f>IFERROR('Manpower Projection'!H74*'Manpower Projection'!I74*'Manpower Projection'!J74,0)</f>
        <v>0</v>
      </c>
      <c r="L74" s="96" cm="1">
        <f t="array" ref="L74">'Manpower Projection'!$L$16</f>
        <v>51.69</v>
      </c>
      <c r="M74" s="96">
        <f>'Manpower Projection'!$M$16</f>
        <v>83.549310344827575</v>
      </c>
      <c r="N74" s="96">
        <f>IFERROR('Manpower Projection'!H74*'Manpower Projection'!L74,"")</f>
        <v>0</v>
      </c>
      <c r="O74" s="96">
        <f>IFERROR('Manpower Projection'!M74*'Manpower Projection'!H74,"")</f>
        <v>0</v>
      </c>
    </row>
    <row r="75" spans="6:15" ht="15" customHeight="1">
      <c r="F75" s="94">
        <v>46290</v>
      </c>
      <c r="G75" s="95"/>
      <c r="H75" s="95"/>
      <c r="I75" s="95"/>
      <c r="J75" s="95"/>
      <c r="K75" s="95">
        <f>IFERROR('Manpower Projection'!H75*'Manpower Projection'!I75*'Manpower Projection'!J75,0)</f>
        <v>0</v>
      </c>
      <c r="L75" s="96" cm="1">
        <f t="array" ref="L75">'Manpower Projection'!$L$16</f>
        <v>51.69</v>
      </c>
      <c r="M75" s="96">
        <f>'Manpower Projection'!$M$16</f>
        <v>83.549310344827575</v>
      </c>
      <c r="N75" s="96">
        <f>IFERROR('Manpower Projection'!H75*'Manpower Projection'!L75,"")</f>
        <v>0</v>
      </c>
      <c r="O75" s="96">
        <f>IFERROR('Manpower Projection'!M75*'Manpower Projection'!H75,"")</f>
        <v>0</v>
      </c>
    </row>
    <row r="76" spans="6:15" ht="15" customHeight="1">
      <c r="F76" s="94">
        <v>46297</v>
      </c>
      <c r="G76" s="95"/>
      <c r="H76" s="95"/>
      <c r="I76" s="95"/>
      <c r="J76" s="95"/>
      <c r="K76" s="95">
        <f>IFERROR('Manpower Projection'!H76*'Manpower Projection'!I76*'Manpower Projection'!J76,0)</f>
        <v>0</v>
      </c>
      <c r="L76" s="96" cm="1">
        <f t="array" ref="L76">'Manpower Projection'!$L$16</f>
        <v>51.69</v>
      </c>
      <c r="M76" s="96">
        <f>'Manpower Projection'!$M$16</f>
        <v>83.549310344827575</v>
      </c>
      <c r="N76" s="96">
        <f>IFERROR('Manpower Projection'!H76*'Manpower Projection'!L76,"")</f>
        <v>0</v>
      </c>
      <c r="O76" s="96">
        <f>IFERROR('Manpower Projection'!M76*'Manpower Projection'!H76,"")</f>
        <v>0</v>
      </c>
    </row>
    <row r="77" spans="6:15" ht="15" customHeight="1">
      <c r="F77" s="94">
        <v>46304</v>
      </c>
      <c r="G77" s="95"/>
      <c r="H77" s="95"/>
      <c r="I77" s="95"/>
      <c r="J77" s="95"/>
      <c r="K77" s="95">
        <f>IFERROR('Manpower Projection'!H77*'Manpower Projection'!I77*'Manpower Projection'!J77,0)</f>
        <v>0</v>
      </c>
      <c r="L77" s="96" cm="1">
        <f t="array" ref="L77">'Manpower Projection'!$L$16</f>
        <v>51.69</v>
      </c>
      <c r="M77" s="96">
        <f>'Manpower Projection'!$M$16</f>
        <v>83.549310344827575</v>
      </c>
      <c r="N77" s="96">
        <f>IFERROR('Manpower Projection'!H77*'Manpower Projection'!L77,"")</f>
        <v>0</v>
      </c>
      <c r="O77" s="96">
        <f>IFERROR('Manpower Projection'!M77*'Manpower Projection'!H77,"")</f>
        <v>0</v>
      </c>
    </row>
    <row r="78" spans="6:15" ht="15" customHeight="1">
      <c r="F78" s="94">
        <v>46311</v>
      </c>
      <c r="G78" s="95"/>
      <c r="H78" s="95"/>
      <c r="I78" s="95"/>
      <c r="J78" s="95"/>
      <c r="K78" s="95">
        <f>IFERROR('Manpower Projection'!H78*'Manpower Projection'!I78*'Manpower Projection'!J78,0)</f>
        <v>0</v>
      </c>
      <c r="L78" s="96" cm="1">
        <f t="array" ref="L78">'Manpower Projection'!$L$16</f>
        <v>51.69</v>
      </c>
      <c r="M78" s="96">
        <f>'Manpower Projection'!$M$16</f>
        <v>83.549310344827575</v>
      </c>
      <c r="N78" s="96">
        <f>IFERROR('Manpower Projection'!H78*'Manpower Projection'!L78,"")</f>
        <v>0</v>
      </c>
      <c r="O78" s="96">
        <f>IFERROR('Manpower Projection'!M78*'Manpower Projection'!H78,"")</f>
        <v>0</v>
      </c>
    </row>
    <row r="79" spans="6:15" ht="15" customHeight="1">
      <c r="F79" s="94">
        <v>46318</v>
      </c>
      <c r="G79" s="95"/>
      <c r="H79" s="95"/>
      <c r="I79" s="95"/>
      <c r="J79" s="95"/>
      <c r="K79" s="95">
        <f>IFERROR('Manpower Projection'!H79*'Manpower Projection'!I79*'Manpower Projection'!J79,0)</f>
        <v>0</v>
      </c>
      <c r="L79" s="96" cm="1">
        <f t="array" ref="L79">'Manpower Projection'!$L$16</f>
        <v>51.69</v>
      </c>
      <c r="M79" s="96">
        <f>'Manpower Projection'!$M$16</f>
        <v>83.549310344827575</v>
      </c>
      <c r="N79" s="96">
        <f>IFERROR('Manpower Projection'!H79*'Manpower Projection'!L79,"")</f>
        <v>0</v>
      </c>
      <c r="O79" s="96">
        <f>IFERROR('Manpower Projection'!M79*'Manpower Projection'!H79,"")</f>
        <v>0</v>
      </c>
    </row>
    <row r="80" spans="6:15" ht="15" customHeight="1">
      <c r="F80" s="94">
        <v>46325</v>
      </c>
      <c r="G80" s="95"/>
      <c r="H80" s="95"/>
      <c r="I80" s="95"/>
      <c r="J80" s="95"/>
      <c r="K80" s="95">
        <f>IFERROR('Manpower Projection'!H80*'Manpower Projection'!I80*'Manpower Projection'!J80,0)</f>
        <v>0</v>
      </c>
      <c r="L80" s="96" cm="1">
        <f t="array" ref="L80">'Manpower Projection'!$L$16</f>
        <v>51.69</v>
      </c>
      <c r="M80" s="96">
        <f>'Manpower Projection'!$M$16</f>
        <v>83.549310344827575</v>
      </c>
      <c r="N80" s="96">
        <f>IFERROR('Manpower Projection'!H80*'Manpower Projection'!L80,"")</f>
        <v>0</v>
      </c>
      <c r="O80" s="96">
        <f>IFERROR('Manpower Projection'!M80*'Manpower Projection'!H80,"")</f>
        <v>0</v>
      </c>
    </row>
    <row r="81" spans="6:15" ht="15" customHeight="1">
      <c r="F81" s="94">
        <v>46332</v>
      </c>
      <c r="G81" s="95"/>
      <c r="H81" s="95"/>
      <c r="I81" s="95"/>
      <c r="J81" s="95"/>
      <c r="K81" s="95">
        <f>IFERROR('Manpower Projection'!H81*'Manpower Projection'!I81*'Manpower Projection'!J81,0)</f>
        <v>0</v>
      </c>
      <c r="L81" s="96" cm="1">
        <f t="array" ref="L81">'Manpower Projection'!$L$16</f>
        <v>51.69</v>
      </c>
      <c r="M81" s="96">
        <f>'Manpower Projection'!$M$16</f>
        <v>83.549310344827575</v>
      </c>
      <c r="N81" s="96">
        <f>IFERROR('Manpower Projection'!H81*'Manpower Projection'!L81,"")</f>
        <v>0</v>
      </c>
      <c r="O81" s="96">
        <f>IFERROR('Manpower Projection'!M81*'Manpower Projection'!H81,"")</f>
        <v>0</v>
      </c>
    </row>
    <row r="82" spans="6:15" ht="15" customHeight="1">
      <c r="F82" s="94">
        <v>46339</v>
      </c>
      <c r="G82" s="95"/>
      <c r="H82" s="95"/>
      <c r="I82" s="95"/>
      <c r="J82" s="95"/>
      <c r="K82" s="95">
        <f>IFERROR('Manpower Projection'!H82*'Manpower Projection'!I82*'Manpower Projection'!J82,0)</f>
        <v>0</v>
      </c>
      <c r="L82" s="96" cm="1">
        <f t="array" ref="L82">'Manpower Projection'!$L$16</f>
        <v>51.69</v>
      </c>
      <c r="M82" s="96">
        <f>'Manpower Projection'!$M$16</f>
        <v>83.549310344827575</v>
      </c>
      <c r="N82" s="96">
        <f>IFERROR('Manpower Projection'!H82*'Manpower Projection'!L82,"")</f>
        <v>0</v>
      </c>
      <c r="O82" s="96">
        <f>IFERROR('Manpower Projection'!M82*'Manpower Projection'!H82,"")</f>
        <v>0</v>
      </c>
    </row>
    <row r="83" spans="6:15" ht="15" customHeight="1">
      <c r="F83" s="94">
        <v>46346</v>
      </c>
      <c r="G83" s="95"/>
      <c r="H83" s="95"/>
      <c r="I83" s="95"/>
      <c r="J83" s="95"/>
      <c r="K83" s="95">
        <f>IFERROR('Manpower Projection'!H83*'Manpower Projection'!I83*'Manpower Projection'!J83,0)</f>
        <v>0</v>
      </c>
      <c r="L83" s="96" cm="1">
        <f t="array" ref="L83">'Manpower Projection'!$L$16</f>
        <v>51.69</v>
      </c>
      <c r="M83" s="96">
        <f>'Manpower Projection'!$M$16</f>
        <v>83.549310344827575</v>
      </c>
      <c r="N83" s="96">
        <f>IFERROR('Manpower Projection'!H83*'Manpower Projection'!L83,"")</f>
        <v>0</v>
      </c>
      <c r="O83" s="96">
        <f>IFERROR('Manpower Projection'!M83*'Manpower Projection'!H83,"")</f>
        <v>0</v>
      </c>
    </row>
    <row r="84" spans="6:15" ht="15" customHeight="1">
      <c r="F84" s="94">
        <v>46353</v>
      </c>
      <c r="G84" s="95"/>
      <c r="H84" s="95"/>
      <c r="I84" s="95"/>
      <c r="J84" s="95"/>
      <c r="K84" s="95">
        <f>IFERROR('Manpower Projection'!H84*'Manpower Projection'!I84*'Manpower Projection'!J84,0)</f>
        <v>0</v>
      </c>
      <c r="L84" s="96" cm="1">
        <f t="array" ref="L84">'Manpower Projection'!$L$16</f>
        <v>51.69</v>
      </c>
      <c r="M84" s="96">
        <f>'Manpower Projection'!$M$16</f>
        <v>83.549310344827575</v>
      </c>
      <c r="N84" s="96">
        <f>IFERROR('Manpower Projection'!H84*'Manpower Projection'!L84,"")</f>
        <v>0</v>
      </c>
      <c r="O84" s="96">
        <f>IFERROR('Manpower Projection'!M84*'Manpower Projection'!H84,"")</f>
        <v>0</v>
      </c>
    </row>
    <row r="85" spans="6:15" ht="15" customHeight="1">
      <c r="F85" s="94">
        <v>46360</v>
      </c>
      <c r="G85" s="95"/>
      <c r="H85" s="95"/>
      <c r="I85" s="95"/>
      <c r="J85" s="95"/>
      <c r="K85" s="95">
        <f>IFERROR('Manpower Projection'!H85*'Manpower Projection'!I85*'Manpower Projection'!J85,0)</f>
        <v>0</v>
      </c>
      <c r="L85" s="96" cm="1">
        <f t="array" ref="L85">'Manpower Projection'!$L$16</f>
        <v>51.69</v>
      </c>
      <c r="M85" s="96">
        <f>'Manpower Projection'!$M$16</f>
        <v>83.549310344827575</v>
      </c>
      <c r="N85" s="96">
        <f>IFERROR('Manpower Projection'!H85*'Manpower Projection'!L85,"")</f>
        <v>0</v>
      </c>
      <c r="O85" s="96">
        <f>IFERROR('Manpower Projection'!M85*'Manpower Projection'!H85,"")</f>
        <v>0</v>
      </c>
    </row>
    <row r="86" spans="6:15" ht="15" customHeight="1">
      <c r="F86" s="94">
        <v>46367</v>
      </c>
      <c r="G86" s="95"/>
      <c r="H86" s="95"/>
      <c r="I86" s="95"/>
      <c r="J86" s="95"/>
      <c r="K86" s="95">
        <f>IFERROR('Manpower Projection'!H86*'Manpower Projection'!I86*'Manpower Projection'!J86,0)</f>
        <v>0</v>
      </c>
      <c r="L86" s="96" cm="1">
        <f t="array" ref="L86">'Manpower Projection'!$L$16</f>
        <v>51.69</v>
      </c>
      <c r="M86" s="96">
        <f>'Manpower Projection'!$M$16</f>
        <v>83.549310344827575</v>
      </c>
      <c r="N86" s="96">
        <f>IFERROR('Manpower Projection'!H86*'Manpower Projection'!L86,"")</f>
        <v>0</v>
      </c>
      <c r="O86" s="96">
        <f>IFERROR('Manpower Projection'!M86*'Manpower Projection'!H86,"")</f>
        <v>0</v>
      </c>
    </row>
    <row r="87" spans="6:15" ht="15" customHeight="1">
      <c r="F87" s="94">
        <v>46374</v>
      </c>
      <c r="G87" s="95"/>
      <c r="H87" s="95"/>
      <c r="I87" s="95"/>
      <c r="J87" s="95"/>
      <c r="K87" s="95">
        <f>IFERROR('Manpower Projection'!H87*'Manpower Projection'!I87*'Manpower Projection'!J87,0)</f>
        <v>0</v>
      </c>
      <c r="L87" s="96" cm="1">
        <f t="array" ref="L87">'Manpower Projection'!$L$16</f>
        <v>51.69</v>
      </c>
      <c r="M87" s="96">
        <f>'Manpower Projection'!$M$16</f>
        <v>83.549310344827575</v>
      </c>
      <c r="N87" s="96">
        <f>IFERROR('Manpower Projection'!H87*'Manpower Projection'!L87,"")</f>
        <v>0</v>
      </c>
      <c r="O87" s="96">
        <f>IFERROR('Manpower Projection'!M87*'Manpower Projection'!H87,"")</f>
        <v>0</v>
      </c>
    </row>
    <row r="88" spans="6:15" ht="15" customHeight="1">
      <c r="F88" s="94">
        <v>46381</v>
      </c>
      <c r="G88" s="95"/>
      <c r="H88" s="95"/>
      <c r="I88" s="95"/>
      <c r="J88" s="95"/>
      <c r="K88" s="95">
        <f>IFERROR('Manpower Projection'!H88*'Manpower Projection'!I88*'Manpower Projection'!J88,0)</f>
        <v>0</v>
      </c>
      <c r="L88" s="96" cm="1">
        <f t="array" ref="L88">'Manpower Projection'!$L$16</f>
        <v>51.69</v>
      </c>
      <c r="M88" s="96">
        <f>'Manpower Projection'!$M$16</f>
        <v>83.549310344827575</v>
      </c>
      <c r="N88" s="96">
        <f>IFERROR('Manpower Projection'!H88*'Manpower Projection'!L88,"")</f>
        <v>0</v>
      </c>
      <c r="O88" s="96">
        <f>IFERROR('Manpower Projection'!M88*'Manpower Projection'!H88,"")</f>
        <v>0</v>
      </c>
    </row>
    <row r="89" spans="6:15" ht="15" customHeight="1">
      <c r="F89" s="94">
        <v>46388</v>
      </c>
      <c r="G89" s="95"/>
      <c r="H89" s="95"/>
      <c r="I89" s="95"/>
      <c r="J89" s="95"/>
      <c r="K89" s="95">
        <f>IFERROR('Manpower Projection'!H89*'Manpower Projection'!I89*'Manpower Projection'!J89,0)</f>
        <v>0</v>
      </c>
      <c r="L89" s="96" cm="1">
        <f t="array" ref="L89">'Manpower Projection'!$L$16</f>
        <v>51.69</v>
      </c>
      <c r="M89" s="96">
        <f>'Manpower Projection'!$M$16</f>
        <v>83.549310344827575</v>
      </c>
      <c r="N89" s="96">
        <f>IFERROR('Manpower Projection'!H89*'Manpower Projection'!L89,"")</f>
        <v>0</v>
      </c>
      <c r="O89" s="96">
        <f>IFERROR('Manpower Projection'!M89*'Manpower Projection'!H89,"")</f>
        <v>0</v>
      </c>
    </row>
    <row r="90" spans="6:15" ht="15" customHeight="1">
      <c r="F90" s="94"/>
      <c r="G90" s="95"/>
      <c r="H90" s="95"/>
      <c r="I90" s="95"/>
      <c r="J90" s="95"/>
      <c r="K90" s="95">
        <f>IFERROR('Manpower Projection'!H90*'Manpower Projection'!I90*'Manpower Projection'!J90,0)</f>
        <v>0</v>
      </c>
      <c r="L90" s="96" cm="1">
        <f t="array" ref="L90">'Manpower Projection'!$L$16</f>
        <v>51.69</v>
      </c>
      <c r="M90" s="96">
        <f>'Manpower Projection'!$M$16</f>
        <v>83.549310344827575</v>
      </c>
      <c r="N90" s="96">
        <f>IFERROR('Manpower Projection'!H90*'Manpower Projection'!L90,"")</f>
        <v>0</v>
      </c>
      <c r="O90" s="96">
        <f>IFERROR('Manpower Projection'!M90*'Manpower Projection'!H90,"")</f>
        <v>0</v>
      </c>
    </row>
    <row r="91" spans="6:15" ht="15" customHeight="1">
      <c r="F91" s="94"/>
      <c r="G91" s="95"/>
      <c r="H91" s="95"/>
      <c r="I91" s="95"/>
      <c r="J91" s="95"/>
      <c r="K91" s="95">
        <f>IFERROR('Manpower Projection'!H91*'Manpower Projection'!I91*'Manpower Projection'!J91,0)</f>
        <v>0</v>
      </c>
      <c r="L91" s="96" cm="1">
        <f t="array" ref="L91">'Manpower Projection'!$L$16</f>
        <v>51.69</v>
      </c>
      <c r="M91" s="96">
        <f>'Manpower Projection'!$M$16</f>
        <v>83.549310344827575</v>
      </c>
      <c r="N91" s="96">
        <f>IFERROR('Manpower Projection'!H91*'Manpower Projection'!L91,"")</f>
        <v>0</v>
      </c>
      <c r="O91" s="96">
        <f>IFERROR('Manpower Projection'!M91*'Manpower Projection'!H91,"")</f>
        <v>0</v>
      </c>
    </row>
    <row r="92" spans="6:15" ht="15" customHeight="1">
      <c r="F92" s="94"/>
      <c r="G92" s="95"/>
      <c r="H92" s="95"/>
      <c r="I92" s="95"/>
      <c r="J92" s="95"/>
      <c r="K92" s="95">
        <f>IFERROR('Manpower Projection'!H92*'Manpower Projection'!I92*'Manpower Projection'!J92,0)</f>
        <v>0</v>
      </c>
      <c r="L92" s="96" cm="1">
        <f t="array" ref="L92">'Manpower Projection'!$L$16</f>
        <v>51.69</v>
      </c>
      <c r="M92" s="96">
        <f>'Manpower Projection'!$M$16</f>
        <v>83.549310344827575</v>
      </c>
      <c r="N92" s="96">
        <f>IFERROR('Manpower Projection'!H92*'Manpower Projection'!L92,"")</f>
        <v>0</v>
      </c>
      <c r="O92" s="96">
        <f>IFERROR('Manpower Projection'!M92*'Manpower Projection'!H92,"")</f>
        <v>0</v>
      </c>
    </row>
    <row r="93" spans="6:15" ht="15" customHeight="1">
      <c r="F93" s="94"/>
      <c r="G93" s="95"/>
      <c r="H93" s="95"/>
      <c r="I93" s="95"/>
      <c r="J93" s="95"/>
      <c r="K93" s="95">
        <f>IFERROR('Manpower Projection'!H93*'Manpower Projection'!I93*'Manpower Projection'!J93,0)</f>
        <v>0</v>
      </c>
      <c r="L93" s="96" cm="1">
        <f t="array" ref="L93">'Manpower Projection'!$L$16</f>
        <v>51.69</v>
      </c>
      <c r="M93" s="96">
        <f>'Manpower Projection'!$M$16</f>
        <v>83.549310344827575</v>
      </c>
      <c r="N93" s="96">
        <f>IFERROR('Manpower Projection'!H93*'Manpower Projection'!L93,"")</f>
        <v>0</v>
      </c>
      <c r="O93" s="96">
        <f>IFERROR('Manpower Projection'!M93*'Manpower Projection'!H93,"")</f>
        <v>0</v>
      </c>
    </row>
    <row r="94" spans="6:15" ht="15" customHeight="1">
      <c r="F94" s="94"/>
      <c r="G94" s="95"/>
      <c r="H94" s="95"/>
      <c r="I94" s="95"/>
      <c r="J94" s="95"/>
      <c r="K94" s="95">
        <f>IFERROR('Manpower Projection'!H94*'Manpower Projection'!I94*'Manpower Projection'!J94,0)</f>
        <v>0</v>
      </c>
      <c r="L94" s="96" cm="1">
        <f t="array" ref="L94">'Manpower Projection'!$L$16</f>
        <v>51.69</v>
      </c>
      <c r="M94" s="96">
        <f>'Manpower Projection'!$M$16</f>
        <v>83.549310344827575</v>
      </c>
      <c r="N94" s="96">
        <f>IFERROR('Manpower Projection'!H94*'Manpower Projection'!L94,"")</f>
        <v>0</v>
      </c>
      <c r="O94" s="96">
        <f>IFERROR('Manpower Projection'!M94*'Manpower Projection'!H94,"")</f>
        <v>0</v>
      </c>
    </row>
    <row r="95" spans="6:15" ht="15" customHeight="1">
      <c r="F95" s="94"/>
      <c r="G95" s="95"/>
      <c r="H95" s="95"/>
      <c r="I95" s="95"/>
      <c r="J95" s="95"/>
      <c r="K95" s="95">
        <f>IFERROR('Manpower Projection'!H95*'Manpower Projection'!I95*'Manpower Projection'!J95,0)</f>
        <v>0</v>
      </c>
      <c r="L95" s="96" cm="1">
        <f t="array" ref="L95">'Manpower Projection'!$L$16</f>
        <v>51.69</v>
      </c>
      <c r="M95" s="96">
        <f>'Manpower Projection'!$M$16</f>
        <v>83.549310344827575</v>
      </c>
      <c r="N95" s="96">
        <f>IFERROR('Manpower Projection'!H95*'Manpower Projection'!L95,"")</f>
        <v>0</v>
      </c>
      <c r="O95" s="96">
        <f>IFERROR('Manpower Projection'!M95*'Manpower Projection'!H95,"")</f>
        <v>0</v>
      </c>
    </row>
    <row r="96" spans="6:15" ht="15" customHeight="1">
      <c r="F96" s="94"/>
      <c r="G96" s="95"/>
      <c r="H96" s="95"/>
      <c r="I96" s="95"/>
      <c r="J96" s="95"/>
      <c r="K96" s="95">
        <f>IFERROR('Manpower Projection'!H96*'Manpower Projection'!I96*'Manpower Projection'!J96,0)</f>
        <v>0</v>
      </c>
      <c r="L96" s="96" cm="1">
        <f t="array" ref="L96">'Manpower Projection'!$L$16</f>
        <v>51.69</v>
      </c>
      <c r="M96" s="96">
        <f>'Manpower Projection'!$M$16</f>
        <v>83.549310344827575</v>
      </c>
      <c r="N96" s="96">
        <f>IFERROR('Manpower Projection'!H96*'Manpower Projection'!L96,"")</f>
        <v>0</v>
      </c>
      <c r="O96" s="96">
        <f>IFERROR('Manpower Projection'!M96*'Manpower Projection'!H96,"")</f>
        <v>0</v>
      </c>
    </row>
    <row r="97" spans="6:15" ht="15" customHeight="1">
      <c r="F97" s="94"/>
      <c r="G97" s="95"/>
      <c r="H97" s="95"/>
      <c r="I97" s="95"/>
      <c r="J97" s="95"/>
      <c r="K97" s="95">
        <f>IFERROR('Manpower Projection'!H97*'Manpower Projection'!I97*'Manpower Projection'!J97,0)</f>
        <v>0</v>
      </c>
      <c r="L97" s="96" cm="1">
        <f t="array" ref="L97">'Manpower Projection'!$L$16</f>
        <v>51.69</v>
      </c>
      <c r="M97" s="96">
        <f>'Manpower Projection'!$M$16</f>
        <v>83.549310344827575</v>
      </c>
      <c r="N97" s="96">
        <f>IFERROR('Manpower Projection'!H97*'Manpower Projection'!L97,"")</f>
        <v>0</v>
      </c>
      <c r="O97" s="96">
        <f>IFERROR('Manpower Projection'!M97*'Manpower Projection'!H97,"")</f>
        <v>0</v>
      </c>
    </row>
    <row r="98" spans="6:15" ht="15" customHeight="1">
      <c r="F98" s="94"/>
      <c r="G98" s="95"/>
      <c r="H98" s="95"/>
      <c r="I98" s="95"/>
      <c r="J98" s="95"/>
      <c r="K98" s="95">
        <f>IFERROR('Manpower Projection'!H98*'Manpower Projection'!I98*'Manpower Projection'!J98,0)</f>
        <v>0</v>
      </c>
      <c r="L98" s="96" cm="1">
        <f t="array" ref="L98">'Manpower Projection'!$L$16</f>
        <v>51.69</v>
      </c>
      <c r="M98" s="96">
        <f>'Manpower Projection'!$M$16</f>
        <v>83.549310344827575</v>
      </c>
      <c r="N98" s="96">
        <f>IFERROR('Manpower Projection'!H98*'Manpower Projection'!L98,"")</f>
        <v>0</v>
      </c>
      <c r="O98" s="96">
        <f>IFERROR('Manpower Projection'!M98*'Manpower Projection'!H98,"")</f>
        <v>0</v>
      </c>
    </row>
    <row r="99" spans="6:15" ht="15" customHeight="1">
      <c r="F99" s="94"/>
      <c r="G99" s="95"/>
      <c r="H99" s="95"/>
      <c r="I99" s="95"/>
      <c r="J99" s="95"/>
      <c r="K99" s="95">
        <f>IFERROR('Manpower Projection'!H99*'Manpower Projection'!I99*'Manpower Projection'!J99,0)</f>
        <v>0</v>
      </c>
      <c r="L99" s="96" cm="1">
        <f t="array" ref="L99">'Manpower Projection'!$L$16</f>
        <v>51.69</v>
      </c>
      <c r="M99" s="96">
        <f>'Manpower Projection'!$M$16</f>
        <v>83.549310344827575</v>
      </c>
      <c r="N99" s="96">
        <f>IFERROR('Manpower Projection'!H99*'Manpower Projection'!L99,"")</f>
        <v>0</v>
      </c>
      <c r="O99" s="96">
        <f>IFERROR('Manpower Projection'!M99*'Manpower Projection'!H99,"")</f>
        <v>0</v>
      </c>
    </row>
    <row r="100" spans="6:15" ht="15" customHeight="1">
      <c r="F100" s="94"/>
      <c r="G100" s="95"/>
      <c r="H100" s="95"/>
      <c r="I100" s="95"/>
      <c r="J100" s="95"/>
      <c r="K100" s="95">
        <f>IFERROR('Manpower Projection'!H100*'Manpower Projection'!I100*'Manpower Projection'!J100,0)</f>
        <v>0</v>
      </c>
      <c r="L100" s="96" cm="1">
        <f t="array" ref="L100">'Manpower Projection'!$L$16</f>
        <v>51.69</v>
      </c>
      <c r="M100" s="96">
        <f>'Manpower Projection'!$M$16</f>
        <v>83.549310344827575</v>
      </c>
      <c r="N100" s="96">
        <f>IFERROR('Manpower Projection'!H100*'Manpower Projection'!L100,"")</f>
        <v>0</v>
      </c>
      <c r="O100" s="96">
        <f>IFERROR('Manpower Projection'!M100*'Manpower Projection'!H100,"")</f>
        <v>0</v>
      </c>
    </row>
    <row r="101" spans="6:15" ht="15" customHeight="1">
      <c r="F101" s="94"/>
      <c r="G101" s="95"/>
      <c r="H101" s="95"/>
      <c r="I101" s="95"/>
      <c r="J101" s="95"/>
      <c r="K101" s="95">
        <f>IFERROR('Manpower Projection'!H101*'Manpower Projection'!I101*'Manpower Projection'!J101,0)</f>
        <v>0</v>
      </c>
      <c r="L101" s="96" cm="1">
        <f t="array" ref="L101">'Manpower Projection'!$L$16</f>
        <v>51.69</v>
      </c>
      <c r="M101" s="96">
        <f>'Manpower Projection'!$M$16</f>
        <v>83.549310344827575</v>
      </c>
      <c r="N101" s="96">
        <f>IFERROR('Manpower Projection'!H101*'Manpower Projection'!L101,"")</f>
        <v>0</v>
      </c>
      <c r="O101" s="96">
        <f>IFERROR('Manpower Projection'!M101*'Manpower Projection'!H101,"")</f>
        <v>0</v>
      </c>
    </row>
    <row r="102" spans="6:15" ht="15" customHeight="1">
      <c r="F102" s="94"/>
      <c r="G102" s="95"/>
      <c r="H102" s="95"/>
      <c r="I102" s="95"/>
      <c r="J102" s="95"/>
      <c r="K102" s="95">
        <f>IFERROR('Manpower Projection'!H102*'Manpower Projection'!I102*'Manpower Projection'!J102,0)</f>
        <v>0</v>
      </c>
      <c r="L102" s="96" cm="1">
        <f t="array" ref="L102">'Manpower Projection'!$L$16</f>
        <v>51.69</v>
      </c>
      <c r="M102" s="96">
        <f>'Manpower Projection'!$M$16</f>
        <v>83.549310344827575</v>
      </c>
      <c r="N102" s="96">
        <f>IFERROR('Manpower Projection'!H102*'Manpower Projection'!L102,"")</f>
        <v>0</v>
      </c>
      <c r="O102" s="96">
        <f>IFERROR('Manpower Projection'!M102*'Manpower Projection'!H102,"")</f>
        <v>0</v>
      </c>
    </row>
    <row r="103" spans="6:15" ht="15" customHeight="1">
      <c r="F103" s="94"/>
      <c r="G103" s="95"/>
      <c r="H103" s="95"/>
      <c r="I103" s="95"/>
      <c r="J103" s="95"/>
      <c r="K103" s="95">
        <f>IFERROR('Manpower Projection'!H103*'Manpower Projection'!I103*'Manpower Projection'!J103,0)</f>
        <v>0</v>
      </c>
      <c r="L103" s="96" cm="1">
        <f t="array" ref="L103">'Manpower Projection'!$L$16</f>
        <v>51.69</v>
      </c>
      <c r="M103" s="96">
        <f>'Manpower Projection'!$M$16</f>
        <v>83.549310344827575</v>
      </c>
      <c r="N103" s="96">
        <f>IFERROR('Manpower Projection'!H103*'Manpower Projection'!L103,"")</f>
        <v>0</v>
      </c>
      <c r="O103" s="96">
        <f>IFERROR('Manpower Projection'!M103*'Manpower Projection'!H103,"")</f>
        <v>0</v>
      </c>
    </row>
    <row r="104" spans="6:15" ht="15" customHeight="1">
      <c r="F104" s="94"/>
      <c r="G104" s="95"/>
      <c r="H104" s="95"/>
      <c r="I104" s="95"/>
      <c r="J104" s="95"/>
      <c r="K104" s="95">
        <f>IFERROR('Manpower Projection'!H104*'Manpower Projection'!I104*'Manpower Projection'!J104,0)</f>
        <v>0</v>
      </c>
      <c r="L104" s="96" cm="1">
        <f t="array" ref="L104">'Manpower Projection'!$L$16</f>
        <v>51.69</v>
      </c>
      <c r="M104" s="96">
        <f>'Manpower Projection'!$M$16</f>
        <v>83.549310344827575</v>
      </c>
      <c r="N104" s="96">
        <f>IFERROR('Manpower Projection'!H104*'Manpower Projection'!L104,"")</f>
        <v>0</v>
      </c>
      <c r="O104" s="96">
        <f>IFERROR('Manpower Projection'!M104*'Manpower Projection'!H104,"")</f>
        <v>0</v>
      </c>
    </row>
    <row r="105" spans="6:15" ht="15" customHeight="1">
      <c r="F105" s="94"/>
      <c r="G105" s="95"/>
      <c r="H105" s="95"/>
      <c r="I105" s="95"/>
      <c r="J105" s="95"/>
      <c r="K105" s="95">
        <f>IFERROR('Manpower Projection'!H105*'Manpower Projection'!I105*'Manpower Projection'!J105,0)</f>
        <v>0</v>
      </c>
      <c r="L105" s="96" cm="1">
        <f t="array" ref="L105">'Manpower Projection'!$L$16</f>
        <v>51.69</v>
      </c>
      <c r="M105" s="96">
        <f>'Manpower Projection'!$M$16</f>
        <v>83.549310344827575</v>
      </c>
      <c r="N105" s="96">
        <f>IFERROR('Manpower Projection'!H105*'Manpower Projection'!L105,"")</f>
        <v>0</v>
      </c>
      <c r="O105" s="96">
        <f>IFERROR('Manpower Projection'!M105*'Manpower Projection'!H105,"")</f>
        <v>0</v>
      </c>
    </row>
    <row r="106" spans="6:15" ht="15" customHeight="1">
      <c r="F106" s="94"/>
      <c r="G106" s="95"/>
      <c r="H106" s="95"/>
      <c r="I106" s="95"/>
      <c r="J106" s="95"/>
      <c r="K106" s="95">
        <f>IFERROR('Manpower Projection'!H106*'Manpower Projection'!I106*'Manpower Projection'!J106,0)</f>
        <v>0</v>
      </c>
      <c r="L106" s="96" cm="1">
        <f t="array" ref="L106">'Manpower Projection'!$L$16</f>
        <v>51.69</v>
      </c>
      <c r="M106" s="96">
        <f>'Manpower Projection'!$M$16</f>
        <v>83.549310344827575</v>
      </c>
      <c r="N106" s="96">
        <f>IFERROR('Manpower Projection'!H106*'Manpower Projection'!L106,"")</f>
        <v>0</v>
      </c>
      <c r="O106" s="96">
        <f>IFERROR('Manpower Projection'!M106*'Manpower Projection'!H106,"")</f>
        <v>0</v>
      </c>
    </row>
    <row r="107" spans="6:15" ht="15" customHeight="1">
      <c r="F107" s="94"/>
      <c r="G107" s="95"/>
      <c r="H107" s="95"/>
      <c r="I107" s="95"/>
      <c r="J107" s="95"/>
      <c r="K107" s="95">
        <f>IFERROR('Manpower Projection'!H107*'Manpower Projection'!I107*'Manpower Projection'!J107,0)</f>
        <v>0</v>
      </c>
      <c r="L107" s="96" cm="1">
        <f t="array" ref="L107">'Manpower Projection'!$L$16</f>
        <v>51.69</v>
      </c>
      <c r="M107" s="96">
        <f>'Manpower Projection'!$M$16</f>
        <v>83.549310344827575</v>
      </c>
      <c r="N107" s="96">
        <f>IFERROR('Manpower Projection'!H107*'Manpower Projection'!L107,"")</f>
        <v>0</v>
      </c>
      <c r="O107" s="96">
        <f>IFERROR('Manpower Projection'!M107*'Manpower Projection'!H107,"")</f>
        <v>0</v>
      </c>
    </row>
    <row r="108" spans="6:15" ht="15" customHeight="1">
      <c r="F108" s="94"/>
      <c r="G108" s="95"/>
      <c r="H108" s="95"/>
      <c r="I108" s="95"/>
      <c r="J108" s="95"/>
      <c r="K108" s="95">
        <f>IFERROR('Manpower Projection'!H108*'Manpower Projection'!I108*'Manpower Projection'!J108,0)</f>
        <v>0</v>
      </c>
      <c r="L108" s="96" cm="1">
        <f t="array" ref="L108">'Manpower Projection'!$L$16</f>
        <v>51.69</v>
      </c>
      <c r="M108" s="96">
        <f>'Manpower Projection'!$M$16</f>
        <v>83.549310344827575</v>
      </c>
      <c r="N108" s="96">
        <f>IFERROR('Manpower Projection'!H108*'Manpower Projection'!L108,"")</f>
        <v>0</v>
      </c>
      <c r="O108" s="96">
        <f>IFERROR('Manpower Projection'!M108*'Manpower Projection'!H108,"")</f>
        <v>0</v>
      </c>
    </row>
    <row r="109" spans="6:15" ht="15" customHeight="1">
      <c r="F109" s="94"/>
      <c r="G109" s="95"/>
      <c r="H109" s="95"/>
      <c r="I109" s="95"/>
      <c r="J109" s="95"/>
      <c r="K109" s="95">
        <f>IFERROR('Manpower Projection'!H109*'Manpower Projection'!I109*'Manpower Projection'!J109,0)</f>
        <v>0</v>
      </c>
      <c r="L109" s="96" cm="1">
        <f t="array" ref="L109">'Manpower Projection'!$L$16</f>
        <v>51.69</v>
      </c>
      <c r="M109" s="96">
        <f>'Manpower Projection'!$M$16</f>
        <v>83.549310344827575</v>
      </c>
      <c r="N109" s="96">
        <f>IFERROR('Manpower Projection'!H109*'Manpower Projection'!L109,"")</f>
        <v>0</v>
      </c>
      <c r="O109" s="96">
        <f>IFERROR('Manpower Projection'!M109*'Manpower Projection'!H109,"")</f>
        <v>0</v>
      </c>
    </row>
    <row r="110" spans="6:15" ht="15" customHeight="1">
      <c r="F110" s="94"/>
      <c r="G110" s="95"/>
      <c r="H110" s="95"/>
      <c r="I110" s="95"/>
      <c r="J110" s="95"/>
      <c r="K110" s="95">
        <f>IFERROR('Manpower Projection'!H110*'Manpower Projection'!I110*'Manpower Projection'!J110,0)</f>
        <v>0</v>
      </c>
      <c r="L110" s="96" cm="1">
        <f t="array" ref="L110">'Manpower Projection'!$L$16</f>
        <v>51.69</v>
      </c>
      <c r="M110" s="96">
        <f>'Manpower Projection'!$M$16</f>
        <v>83.549310344827575</v>
      </c>
      <c r="N110" s="96">
        <f>IFERROR('Manpower Projection'!H110*'Manpower Projection'!L110,"")</f>
        <v>0</v>
      </c>
      <c r="O110" s="96">
        <f>IFERROR('Manpower Projection'!M110*'Manpower Projection'!H110,"")</f>
        <v>0</v>
      </c>
    </row>
    <row r="111" spans="6:15" ht="15" customHeight="1">
      <c r="F111" s="94"/>
      <c r="G111" s="95"/>
      <c r="H111" s="95"/>
      <c r="I111" s="95"/>
      <c r="J111" s="95"/>
      <c r="K111" s="95">
        <f>IFERROR('Manpower Projection'!H111*'Manpower Projection'!I111*'Manpower Projection'!J111,0)</f>
        <v>0</v>
      </c>
      <c r="L111" s="96" cm="1">
        <f t="array" ref="L111">'Manpower Projection'!$L$16</f>
        <v>51.69</v>
      </c>
      <c r="M111" s="96">
        <f>'Manpower Projection'!$M$16</f>
        <v>83.549310344827575</v>
      </c>
      <c r="N111" s="96">
        <f>IFERROR('Manpower Projection'!H111*'Manpower Projection'!L111,"")</f>
        <v>0</v>
      </c>
      <c r="O111" s="96">
        <f>IFERROR('Manpower Projection'!M111*'Manpower Projection'!H111,"")</f>
        <v>0</v>
      </c>
    </row>
    <row r="112" spans="6:15" ht="15" customHeight="1">
      <c r="F112" s="94"/>
      <c r="G112" s="95"/>
      <c r="H112" s="95"/>
      <c r="I112" s="95"/>
      <c r="J112" s="95"/>
      <c r="K112" s="95">
        <f>IFERROR('Manpower Projection'!H112*'Manpower Projection'!I112*'Manpower Projection'!J112,0)</f>
        <v>0</v>
      </c>
      <c r="L112" s="96" cm="1">
        <f t="array" ref="L112">'Manpower Projection'!$L$16</f>
        <v>51.69</v>
      </c>
      <c r="M112" s="96">
        <f>'Manpower Projection'!$M$16</f>
        <v>83.549310344827575</v>
      </c>
      <c r="N112" s="96">
        <f>IFERROR('Manpower Projection'!H112*'Manpower Projection'!L112,"")</f>
        <v>0</v>
      </c>
      <c r="O112" s="96">
        <f>IFERROR('Manpower Projection'!M112*'Manpower Projection'!H112,"")</f>
        <v>0</v>
      </c>
    </row>
    <row r="113" spans="6:15" ht="15" customHeight="1">
      <c r="F113" s="94"/>
      <c r="G113" s="95"/>
      <c r="H113" s="95"/>
      <c r="I113" s="95"/>
      <c r="J113" s="95"/>
      <c r="K113" s="95">
        <f>IFERROR('Manpower Projection'!H113*'Manpower Projection'!I113*'Manpower Projection'!J113,0)</f>
        <v>0</v>
      </c>
      <c r="L113" s="96" cm="1">
        <f t="array" ref="L113">'Manpower Projection'!$L$16</f>
        <v>51.69</v>
      </c>
      <c r="M113" s="96">
        <f>'Manpower Projection'!$M$16</f>
        <v>83.549310344827575</v>
      </c>
      <c r="N113" s="96">
        <f>IFERROR('Manpower Projection'!H113*'Manpower Projection'!L113,"")</f>
        <v>0</v>
      </c>
      <c r="O113" s="96">
        <f>IFERROR('Manpower Projection'!M113*'Manpower Projection'!H113,"")</f>
        <v>0</v>
      </c>
    </row>
    <row r="114" spans="6:15" ht="15" customHeight="1">
      <c r="F114" s="94"/>
      <c r="G114" s="95"/>
      <c r="H114" s="95"/>
      <c r="I114" s="95"/>
      <c r="J114" s="95"/>
      <c r="K114" s="95">
        <f>IFERROR('Manpower Projection'!H114*'Manpower Projection'!I114*'Manpower Projection'!J114,0)</f>
        <v>0</v>
      </c>
      <c r="L114" s="96" cm="1">
        <f t="array" ref="L114">'Manpower Projection'!$L$16</f>
        <v>51.69</v>
      </c>
      <c r="M114" s="96">
        <f>'Manpower Projection'!$M$16</f>
        <v>83.549310344827575</v>
      </c>
      <c r="N114" s="96">
        <f>IFERROR('Manpower Projection'!H114*'Manpower Projection'!L114,"")</f>
        <v>0</v>
      </c>
      <c r="O114" s="96">
        <f>IFERROR('Manpower Projection'!M114*'Manpower Projection'!H114,"")</f>
        <v>0</v>
      </c>
    </row>
    <row r="115" spans="6:15" ht="15" customHeight="1">
      <c r="F115" s="94"/>
      <c r="G115" s="95"/>
      <c r="H115" s="95"/>
      <c r="I115" s="95"/>
      <c r="J115" s="95"/>
      <c r="K115" s="95">
        <f>IFERROR('Manpower Projection'!H115*'Manpower Projection'!I115*'Manpower Projection'!J115,0)</f>
        <v>0</v>
      </c>
      <c r="L115" s="96" cm="1">
        <f t="array" ref="L115">'Manpower Projection'!$L$16</f>
        <v>51.69</v>
      </c>
      <c r="M115" s="96">
        <f>'Manpower Projection'!$M$16</f>
        <v>83.549310344827575</v>
      </c>
      <c r="N115" s="96">
        <f>IFERROR('Manpower Projection'!H115*'Manpower Projection'!L115,"")</f>
        <v>0</v>
      </c>
      <c r="O115" s="96">
        <f>IFERROR('Manpower Projection'!M115*'Manpower Projection'!H115,"")</f>
        <v>0</v>
      </c>
    </row>
    <row r="116" spans="6:15" ht="15" customHeight="1">
      <c r="F116" s="94"/>
      <c r="G116" s="95"/>
      <c r="H116" s="95"/>
      <c r="I116" s="95"/>
      <c r="J116" s="95"/>
      <c r="K116" s="95">
        <f>IFERROR('Manpower Projection'!H116*'Manpower Projection'!I116*'Manpower Projection'!J116,0)</f>
        <v>0</v>
      </c>
      <c r="L116" s="96" cm="1">
        <f t="array" ref="L116">'Manpower Projection'!$L$16</f>
        <v>51.69</v>
      </c>
      <c r="M116" s="96">
        <f>'Manpower Projection'!$M$16</f>
        <v>83.549310344827575</v>
      </c>
      <c r="N116" s="96">
        <f>IFERROR('Manpower Projection'!H116*'Manpower Projection'!L116,"")</f>
        <v>0</v>
      </c>
      <c r="O116" s="96">
        <f>IFERROR('Manpower Projection'!M116*'Manpower Projection'!H116,"")</f>
        <v>0</v>
      </c>
    </row>
    <row r="117" spans="6:15" ht="15" customHeight="1">
      <c r="F117" s="94"/>
      <c r="G117" s="95"/>
      <c r="H117" s="95"/>
      <c r="I117" s="95"/>
      <c r="J117" s="95"/>
      <c r="K117" s="95">
        <f>IFERROR('Manpower Projection'!H117*'Manpower Projection'!I117*'Manpower Projection'!J117,0)</f>
        <v>0</v>
      </c>
      <c r="L117" s="96" cm="1">
        <f t="array" ref="L117">'Manpower Projection'!$L$16</f>
        <v>51.69</v>
      </c>
      <c r="M117" s="96">
        <f>'Manpower Projection'!$M$16</f>
        <v>83.549310344827575</v>
      </c>
      <c r="N117" s="96">
        <f>IFERROR('Manpower Projection'!H117*'Manpower Projection'!L117,"")</f>
        <v>0</v>
      </c>
      <c r="O117" s="96">
        <f>IFERROR('Manpower Projection'!M117*'Manpower Projection'!H117,"")</f>
        <v>0</v>
      </c>
    </row>
    <row r="118" spans="6:15" ht="15" customHeight="1">
      <c r="F118" s="94"/>
      <c r="G118" s="95"/>
      <c r="H118" s="95"/>
      <c r="I118" s="95"/>
      <c r="J118" s="95"/>
      <c r="K118" s="95">
        <f>IFERROR('Manpower Projection'!H118*'Manpower Projection'!I118*'Manpower Projection'!J118,0)</f>
        <v>0</v>
      </c>
      <c r="L118" s="96" cm="1">
        <f t="array" ref="L118">'Manpower Projection'!$L$16</f>
        <v>51.69</v>
      </c>
      <c r="M118" s="96">
        <f>'Manpower Projection'!$M$16</f>
        <v>83.549310344827575</v>
      </c>
      <c r="N118" s="96">
        <f>IFERROR('Manpower Projection'!H118*'Manpower Projection'!L118,"")</f>
        <v>0</v>
      </c>
      <c r="O118" s="96">
        <f>IFERROR('Manpower Projection'!M118*'Manpower Projection'!H118,"")</f>
        <v>0</v>
      </c>
    </row>
    <row r="119" spans="6:15" ht="15" customHeight="1">
      <c r="F119" s="94"/>
      <c r="G119" s="95"/>
      <c r="H119" s="95"/>
      <c r="I119" s="95"/>
      <c r="J119" s="95"/>
      <c r="K119" s="95">
        <f>IFERROR('Manpower Projection'!H119*'Manpower Projection'!I119*'Manpower Projection'!J119,0)</f>
        <v>0</v>
      </c>
      <c r="L119" s="96" cm="1">
        <f t="array" ref="L119">'Manpower Projection'!$L$16</f>
        <v>51.69</v>
      </c>
      <c r="M119" s="96">
        <f>'Manpower Projection'!$M$16</f>
        <v>83.549310344827575</v>
      </c>
      <c r="N119" s="96">
        <f>IFERROR('Manpower Projection'!H119*'Manpower Projection'!L119,"")</f>
        <v>0</v>
      </c>
      <c r="O119" s="96">
        <f>IFERROR('Manpower Projection'!M119*'Manpower Projection'!H119,"")</f>
        <v>0</v>
      </c>
    </row>
    <row r="120" spans="6:15" ht="15" customHeight="1">
      <c r="F120" s="94"/>
      <c r="G120" s="95"/>
      <c r="H120" s="95"/>
      <c r="I120" s="95"/>
      <c r="J120" s="95"/>
      <c r="K120" s="95">
        <f>IFERROR('Manpower Projection'!H120*'Manpower Projection'!I120*'Manpower Projection'!J120,0)</f>
        <v>0</v>
      </c>
      <c r="L120" s="96" cm="1">
        <f t="array" ref="L120">'Manpower Projection'!$L$16</f>
        <v>51.69</v>
      </c>
      <c r="M120" s="96">
        <f>'Manpower Projection'!$M$16</f>
        <v>83.549310344827575</v>
      </c>
      <c r="N120" s="96">
        <f>IFERROR('Manpower Projection'!H120*'Manpower Projection'!L120,"")</f>
        <v>0</v>
      </c>
      <c r="O120" s="96">
        <f>IFERROR('Manpower Projection'!M120*'Manpower Projection'!H120,"")</f>
        <v>0</v>
      </c>
    </row>
    <row r="121" spans="6:15" ht="15" customHeight="1">
      <c r="F121" s="94"/>
      <c r="G121" s="95"/>
      <c r="H121" s="95"/>
      <c r="I121" s="95"/>
      <c r="J121" s="95"/>
      <c r="K121" s="95">
        <f>IFERROR('Manpower Projection'!H121*'Manpower Projection'!I121*'Manpower Projection'!J121,0)</f>
        <v>0</v>
      </c>
      <c r="L121" s="96" cm="1">
        <f t="array" ref="L121">'Manpower Projection'!$L$16</f>
        <v>51.69</v>
      </c>
      <c r="M121" s="96">
        <f>'Manpower Projection'!$M$16</f>
        <v>83.549310344827575</v>
      </c>
      <c r="N121" s="96">
        <f>IFERROR('Manpower Projection'!H121*'Manpower Projection'!L121,"")</f>
        <v>0</v>
      </c>
      <c r="O121" s="96">
        <f>IFERROR('Manpower Projection'!M121*'Manpower Projection'!H121,"")</f>
        <v>0</v>
      </c>
    </row>
    <row r="122" spans="6:15" ht="15" customHeight="1">
      <c r="F122" s="94"/>
      <c r="G122" s="95"/>
      <c r="H122" s="95"/>
      <c r="I122" s="95"/>
      <c r="J122" s="95"/>
      <c r="K122" s="95">
        <f>IFERROR('Manpower Projection'!H122*'Manpower Projection'!I122*'Manpower Projection'!J122,0)</f>
        <v>0</v>
      </c>
      <c r="L122" s="96" cm="1">
        <f t="array" ref="L122">'Manpower Projection'!$L$16</f>
        <v>51.69</v>
      </c>
      <c r="M122" s="96">
        <f>'Manpower Projection'!$M$16</f>
        <v>83.549310344827575</v>
      </c>
      <c r="N122" s="96">
        <f>IFERROR('Manpower Projection'!H122*'Manpower Projection'!L122,"")</f>
        <v>0</v>
      </c>
      <c r="O122" s="96">
        <f>IFERROR('Manpower Projection'!M122*'Manpower Projection'!H122,"")</f>
        <v>0</v>
      </c>
    </row>
    <row r="123" spans="6:15" ht="15" customHeight="1">
      <c r="F123" s="94"/>
      <c r="G123" s="95"/>
      <c r="H123" s="95"/>
      <c r="I123" s="95"/>
      <c r="J123" s="95"/>
      <c r="K123" s="95">
        <f>IFERROR('Manpower Projection'!H123*'Manpower Projection'!I123*'Manpower Projection'!J123,0)</f>
        <v>0</v>
      </c>
      <c r="L123" s="96" cm="1">
        <f t="array" ref="L123">'Manpower Projection'!$L$16</f>
        <v>51.69</v>
      </c>
      <c r="M123" s="96">
        <f>'Manpower Projection'!$M$16</f>
        <v>83.549310344827575</v>
      </c>
      <c r="N123" s="96">
        <f>IFERROR('Manpower Projection'!H123*'Manpower Projection'!L123,"")</f>
        <v>0</v>
      </c>
      <c r="O123" s="96">
        <f>IFERROR('Manpower Projection'!M123*'Manpower Projection'!H123,"")</f>
        <v>0</v>
      </c>
    </row>
    <row r="124" spans="6:15" ht="15" customHeight="1">
      <c r="F124" s="94"/>
      <c r="G124" s="95"/>
      <c r="H124" s="95"/>
      <c r="I124" s="95"/>
      <c r="J124" s="95"/>
      <c r="K124" s="95">
        <f>IFERROR('Manpower Projection'!H124*'Manpower Projection'!I124*'Manpower Projection'!J124,0)</f>
        <v>0</v>
      </c>
      <c r="L124" s="96" cm="1">
        <f t="array" ref="L124">'Manpower Projection'!$L$16</f>
        <v>51.69</v>
      </c>
      <c r="M124" s="96">
        <f>'Manpower Projection'!$M$16</f>
        <v>83.549310344827575</v>
      </c>
      <c r="N124" s="96">
        <f>IFERROR('Manpower Projection'!H124*'Manpower Projection'!L124,"")</f>
        <v>0</v>
      </c>
      <c r="O124" s="96">
        <f>IFERROR('Manpower Projection'!M124*'Manpower Projection'!H124,"")</f>
        <v>0</v>
      </c>
    </row>
    <row r="125" spans="6:15" ht="15" customHeight="1">
      <c r="F125" s="94"/>
      <c r="G125" s="95"/>
      <c r="H125" s="95"/>
      <c r="I125" s="95"/>
      <c r="J125" s="95"/>
      <c r="K125" s="95">
        <f>IFERROR('Manpower Projection'!H125*'Manpower Projection'!I125*'Manpower Projection'!J125,0)</f>
        <v>0</v>
      </c>
      <c r="L125" s="96" cm="1">
        <f t="array" ref="L125">'Manpower Projection'!$L$16</f>
        <v>51.69</v>
      </c>
      <c r="M125" s="96">
        <f>'Manpower Projection'!$M$16</f>
        <v>83.549310344827575</v>
      </c>
      <c r="N125" s="96">
        <f>IFERROR('Manpower Projection'!H125*'Manpower Projection'!L125,"")</f>
        <v>0</v>
      </c>
      <c r="O125" s="96">
        <f>IFERROR('Manpower Projection'!M125*'Manpower Projection'!H125,"")</f>
        <v>0</v>
      </c>
    </row>
    <row r="126" spans="6:15" ht="15" customHeight="1">
      <c r="F126" s="94"/>
      <c r="G126" s="95"/>
      <c r="H126" s="95"/>
      <c r="I126" s="95"/>
      <c r="J126" s="95"/>
      <c r="K126" s="95">
        <f>IFERROR('Manpower Projection'!H126*'Manpower Projection'!I126*'Manpower Projection'!J126,0)</f>
        <v>0</v>
      </c>
      <c r="L126" s="96" cm="1">
        <f t="array" ref="L126">'Manpower Projection'!$L$16</f>
        <v>51.69</v>
      </c>
      <c r="M126" s="96">
        <f>'Manpower Projection'!$M$16</f>
        <v>83.549310344827575</v>
      </c>
      <c r="N126" s="96">
        <f>IFERROR('Manpower Projection'!H126*'Manpower Projection'!L126,"")</f>
        <v>0</v>
      </c>
      <c r="O126" s="96">
        <f>IFERROR('Manpower Projection'!M126*'Manpower Projection'!H126,"")</f>
        <v>0</v>
      </c>
    </row>
    <row r="127" spans="6:15" ht="15" customHeight="1">
      <c r="F127" s="94"/>
      <c r="G127" s="95"/>
      <c r="H127" s="95"/>
      <c r="I127" s="95"/>
      <c r="J127" s="95"/>
      <c r="K127" s="95">
        <f>IFERROR('Manpower Projection'!H127*'Manpower Projection'!I127*'Manpower Projection'!J127,0)</f>
        <v>0</v>
      </c>
      <c r="L127" s="96" cm="1">
        <f t="array" ref="L127">'Manpower Projection'!$L$16</f>
        <v>51.69</v>
      </c>
      <c r="M127" s="96">
        <f>'Manpower Projection'!$M$16</f>
        <v>83.549310344827575</v>
      </c>
      <c r="N127" s="96">
        <f>IFERROR('Manpower Projection'!H127*'Manpower Projection'!L127,"")</f>
        <v>0</v>
      </c>
      <c r="O127" s="96">
        <f>IFERROR('Manpower Projection'!M127*'Manpower Projection'!H127,"")</f>
        <v>0</v>
      </c>
    </row>
    <row r="128" spans="6:15" ht="15" customHeight="1">
      <c r="F128" s="94"/>
      <c r="G128" s="95"/>
      <c r="H128" s="95"/>
      <c r="I128" s="95"/>
      <c r="J128" s="95"/>
      <c r="K128" s="95">
        <f>IFERROR('Manpower Projection'!H128*'Manpower Projection'!I128*'Manpower Projection'!J128,0)</f>
        <v>0</v>
      </c>
      <c r="L128" s="96" cm="1">
        <f t="array" ref="L128">'Manpower Projection'!$L$16</f>
        <v>51.69</v>
      </c>
      <c r="M128" s="96">
        <f>'Manpower Projection'!$M$16</f>
        <v>83.549310344827575</v>
      </c>
      <c r="N128" s="96">
        <f>IFERROR('Manpower Projection'!H128*'Manpower Projection'!L128,"")</f>
        <v>0</v>
      </c>
      <c r="O128" s="96">
        <f>IFERROR('Manpower Projection'!M128*'Manpower Projection'!H128,"")</f>
        <v>0</v>
      </c>
    </row>
    <row r="129" spans="6:15" ht="15" customHeight="1">
      <c r="F129" s="94"/>
      <c r="G129" s="95"/>
      <c r="H129" s="95"/>
      <c r="I129" s="95"/>
      <c r="J129" s="95"/>
      <c r="K129" s="95">
        <f>IFERROR('Manpower Projection'!H129*'Manpower Projection'!I129*'Manpower Projection'!J129,0)</f>
        <v>0</v>
      </c>
      <c r="L129" s="96" cm="1">
        <f t="array" ref="L129">'Manpower Projection'!$L$16</f>
        <v>51.69</v>
      </c>
      <c r="M129" s="96">
        <f>'Manpower Projection'!$M$16</f>
        <v>83.549310344827575</v>
      </c>
      <c r="N129" s="96">
        <f>IFERROR('Manpower Projection'!H129*'Manpower Projection'!L129,"")</f>
        <v>0</v>
      </c>
      <c r="O129" s="96">
        <f>IFERROR('Manpower Projection'!M129*'Manpower Projection'!H129,"")</f>
        <v>0</v>
      </c>
    </row>
    <row r="130" spans="6:15" ht="15" customHeight="1">
      <c r="F130" s="94"/>
      <c r="G130" s="95"/>
      <c r="H130" s="95"/>
      <c r="I130" s="95"/>
      <c r="J130" s="95"/>
      <c r="K130" s="95">
        <f>IFERROR('Manpower Projection'!H130*'Manpower Projection'!I130*'Manpower Projection'!J130,0)</f>
        <v>0</v>
      </c>
      <c r="L130" s="96" cm="1">
        <f t="array" ref="L130">'Manpower Projection'!$L$16</f>
        <v>51.69</v>
      </c>
      <c r="M130" s="96">
        <f>'Manpower Projection'!$M$16</f>
        <v>83.549310344827575</v>
      </c>
      <c r="N130" s="96">
        <f>IFERROR('Manpower Projection'!H130*'Manpower Projection'!L130,"")</f>
        <v>0</v>
      </c>
      <c r="O130" s="96">
        <f>IFERROR('Manpower Projection'!M130*'Manpower Projection'!H130,"")</f>
        <v>0</v>
      </c>
    </row>
    <row r="131" spans="6:15" ht="15" customHeight="1">
      <c r="F131" s="94"/>
      <c r="G131" s="95"/>
      <c r="H131" s="95"/>
      <c r="I131" s="95"/>
      <c r="J131" s="95"/>
      <c r="K131" s="95">
        <f>IFERROR('Manpower Projection'!H131*'Manpower Projection'!I131*'Manpower Projection'!J131,0)</f>
        <v>0</v>
      </c>
      <c r="L131" s="96" cm="1">
        <f t="array" ref="L131">'Manpower Projection'!$L$16</f>
        <v>51.69</v>
      </c>
      <c r="M131" s="96">
        <f>'Manpower Projection'!$M$16</f>
        <v>83.549310344827575</v>
      </c>
      <c r="N131" s="96">
        <f>IFERROR('Manpower Projection'!H131*'Manpower Projection'!L131,"")</f>
        <v>0</v>
      </c>
      <c r="O131" s="96">
        <f>IFERROR('Manpower Projection'!M131*'Manpower Projection'!H131,"")</f>
        <v>0</v>
      </c>
    </row>
    <row r="132" spans="6:15" ht="15" customHeight="1">
      <c r="F132" s="94"/>
      <c r="G132" s="95"/>
      <c r="H132" s="95"/>
      <c r="I132" s="95"/>
      <c r="J132" s="95"/>
      <c r="K132" s="95">
        <f>IFERROR('Manpower Projection'!H132*'Manpower Projection'!I132*'Manpower Projection'!J132,0)</f>
        <v>0</v>
      </c>
      <c r="L132" s="96" cm="1">
        <f t="array" ref="L132">'Manpower Projection'!$L$16</f>
        <v>51.69</v>
      </c>
      <c r="M132" s="96">
        <f>'Manpower Projection'!$M$16</f>
        <v>83.549310344827575</v>
      </c>
      <c r="N132" s="96">
        <f>IFERROR('Manpower Projection'!H132*'Manpower Projection'!L132,"")</f>
        <v>0</v>
      </c>
      <c r="O132" s="96">
        <f>IFERROR('Manpower Projection'!M132*'Manpower Projection'!H132,"")</f>
        <v>0</v>
      </c>
    </row>
    <row r="133" spans="6:15" ht="15" customHeight="1">
      <c r="F133" s="94"/>
      <c r="G133" s="95"/>
      <c r="H133" s="95"/>
      <c r="I133" s="95"/>
      <c r="J133" s="95"/>
      <c r="K133" s="95">
        <f>IFERROR('Manpower Projection'!H133*'Manpower Projection'!I133*'Manpower Projection'!J133,0)</f>
        <v>0</v>
      </c>
      <c r="L133" s="96" cm="1">
        <f t="array" ref="L133">'Manpower Projection'!$L$16</f>
        <v>51.69</v>
      </c>
      <c r="M133" s="96">
        <f>'Manpower Projection'!$M$16</f>
        <v>83.549310344827575</v>
      </c>
      <c r="N133" s="96">
        <f>IFERROR('Manpower Projection'!H133*'Manpower Projection'!L133,"")</f>
        <v>0</v>
      </c>
      <c r="O133" s="96">
        <f>IFERROR('Manpower Projection'!M133*'Manpower Projection'!H133,"")</f>
        <v>0</v>
      </c>
    </row>
    <row r="134" spans="6:15" ht="15" customHeight="1">
      <c r="F134" s="94"/>
      <c r="G134" s="95"/>
      <c r="H134" s="95"/>
      <c r="I134" s="95"/>
      <c r="J134" s="95"/>
      <c r="K134" s="95">
        <f>IFERROR('Manpower Projection'!H134*'Manpower Projection'!I134*'Manpower Projection'!J134,0)</f>
        <v>0</v>
      </c>
      <c r="L134" s="96" cm="1">
        <f t="array" ref="L134">'Manpower Projection'!$L$16</f>
        <v>51.69</v>
      </c>
      <c r="M134" s="96">
        <f>'Manpower Projection'!$M$16</f>
        <v>83.549310344827575</v>
      </c>
      <c r="N134" s="96">
        <f>IFERROR('Manpower Projection'!H134*'Manpower Projection'!L134,"")</f>
        <v>0</v>
      </c>
      <c r="O134" s="96">
        <f>IFERROR('Manpower Projection'!M134*'Manpower Projection'!H134,"")</f>
        <v>0</v>
      </c>
    </row>
    <row r="135" spans="6:15" ht="15" customHeight="1">
      <c r="F135" s="94"/>
      <c r="G135" s="95"/>
      <c r="H135" s="95"/>
      <c r="I135" s="95"/>
      <c r="J135" s="95"/>
      <c r="K135" s="95">
        <f>IFERROR('Manpower Projection'!H135*'Manpower Projection'!I135*'Manpower Projection'!J135,0)</f>
        <v>0</v>
      </c>
      <c r="L135" s="96" cm="1">
        <f t="array" ref="L135">'Manpower Projection'!$L$16</f>
        <v>51.69</v>
      </c>
      <c r="M135" s="96">
        <f>'Manpower Projection'!$M$16</f>
        <v>83.549310344827575</v>
      </c>
      <c r="N135" s="96">
        <f>IFERROR('Manpower Projection'!H135*'Manpower Projection'!L135,"")</f>
        <v>0</v>
      </c>
      <c r="O135" s="96">
        <f>IFERROR('Manpower Projection'!M135*'Manpower Projection'!H135,"")</f>
        <v>0</v>
      </c>
    </row>
    <row r="136" spans="6:15" ht="15" customHeight="1">
      <c r="F136" s="94"/>
      <c r="G136" s="95"/>
      <c r="H136" s="95"/>
      <c r="I136" s="95"/>
      <c r="J136" s="95"/>
      <c r="K136" s="95">
        <f>IFERROR('Manpower Projection'!H136*'Manpower Projection'!I136*'Manpower Projection'!J136,0)</f>
        <v>0</v>
      </c>
      <c r="L136" s="96" cm="1">
        <f t="array" ref="L136">'Manpower Projection'!$L$16</f>
        <v>51.69</v>
      </c>
      <c r="M136" s="96">
        <f>'Manpower Projection'!$M$16</f>
        <v>83.549310344827575</v>
      </c>
      <c r="N136" s="96">
        <f>IFERROR('Manpower Projection'!H136*'Manpower Projection'!L136,"")</f>
        <v>0</v>
      </c>
      <c r="O136" s="96">
        <f>IFERROR('Manpower Projection'!M136*'Manpower Projection'!H136,"")</f>
        <v>0</v>
      </c>
    </row>
    <row r="137" spans="6:15" ht="15" customHeight="1">
      <c r="F137" s="94"/>
      <c r="G137" s="95"/>
      <c r="H137" s="95"/>
      <c r="I137" s="95"/>
      <c r="J137" s="95"/>
      <c r="K137" s="95">
        <f>IFERROR('Manpower Projection'!H137*'Manpower Projection'!I137*'Manpower Projection'!J137,0)</f>
        <v>0</v>
      </c>
      <c r="L137" s="96" cm="1">
        <f t="array" ref="L137">'Manpower Projection'!$L$16</f>
        <v>51.69</v>
      </c>
      <c r="M137" s="96">
        <f>'Manpower Projection'!$M$16</f>
        <v>83.549310344827575</v>
      </c>
      <c r="N137" s="96">
        <f>IFERROR('Manpower Projection'!H137*'Manpower Projection'!L137,"")</f>
        <v>0</v>
      </c>
      <c r="O137" s="96">
        <f>IFERROR('Manpower Projection'!M137*'Manpower Projection'!H137,"")</f>
        <v>0</v>
      </c>
    </row>
    <row r="138" spans="6:15" ht="15" customHeight="1">
      <c r="F138" s="94"/>
      <c r="G138" s="95"/>
      <c r="H138" s="95"/>
      <c r="I138" s="95"/>
      <c r="J138" s="95"/>
      <c r="K138" s="95">
        <f>IFERROR('Manpower Projection'!H138*'Manpower Projection'!I138*'Manpower Projection'!J138,0)</f>
        <v>0</v>
      </c>
      <c r="L138" s="96" cm="1">
        <f t="array" ref="L138">'Manpower Projection'!$L$16</f>
        <v>51.69</v>
      </c>
      <c r="M138" s="96">
        <f>'Manpower Projection'!$M$16</f>
        <v>83.549310344827575</v>
      </c>
      <c r="N138" s="96">
        <f>IFERROR('Manpower Projection'!H138*'Manpower Projection'!L138,"")</f>
        <v>0</v>
      </c>
      <c r="O138" s="96">
        <f>IFERROR('Manpower Projection'!M138*'Manpower Projection'!H138,"")</f>
        <v>0</v>
      </c>
    </row>
    <row r="139" spans="6:15" ht="15" customHeight="1">
      <c r="F139" s="94"/>
      <c r="G139" s="95"/>
      <c r="H139" s="95"/>
      <c r="I139" s="95"/>
      <c r="J139" s="95"/>
      <c r="K139" s="95">
        <f>IFERROR('Manpower Projection'!H139*'Manpower Projection'!I139*'Manpower Projection'!J139,0)</f>
        <v>0</v>
      </c>
      <c r="L139" s="96" cm="1">
        <f t="array" ref="L139">'Manpower Projection'!$L$16</f>
        <v>51.69</v>
      </c>
      <c r="M139" s="96">
        <f>'Manpower Projection'!$M$16</f>
        <v>83.549310344827575</v>
      </c>
      <c r="N139" s="96">
        <f>IFERROR('Manpower Projection'!H139*'Manpower Projection'!L139,"")</f>
        <v>0</v>
      </c>
      <c r="O139" s="96">
        <f>IFERROR('Manpower Projection'!M139*'Manpower Projection'!H139,"")</f>
        <v>0</v>
      </c>
    </row>
    <row r="140" spans="6:15" ht="15" customHeight="1">
      <c r="F140" s="94"/>
      <c r="G140" s="95"/>
      <c r="H140" s="95"/>
      <c r="I140" s="95"/>
      <c r="J140" s="95"/>
      <c r="K140" s="95">
        <f>IFERROR('Manpower Projection'!H140*'Manpower Projection'!I140*'Manpower Projection'!J140,0)</f>
        <v>0</v>
      </c>
      <c r="L140" s="96" cm="1">
        <f t="array" ref="L140">'Manpower Projection'!$L$16</f>
        <v>51.69</v>
      </c>
      <c r="M140" s="96">
        <f>'Manpower Projection'!$M$16</f>
        <v>83.549310344827575</v>
      </c>
      <c r="N140" s="96">
        <f>IFERROR('Manpower Projection'!H140*'Manpower Projection'!L140,"")</f>
        <v>0</v>
      </c>
      <c r="O140" s="96">
        <f>IFERROR('Manpower Projection'!M140*'Manpower Projection'!H140,"")</f>
        <v>0</v>
      </c>
    </row>
    <row r="141" spans="6:15" ht="15" customHeight="1">
      <c r="F141" s="94"/>
      <c r="G141" s="95"/>
      <c r="H141" s="95"/>
      <c r="I141" s="95"/>
      <c r="J141" s="95"/>
      <c r="K141" s="95">
        <f>IFERROR('Manpower Projection'!H141*'Manpower Projection'!I141*'Manpower Projection'!J141,0)</f>
        <v>0</v>
      </c>
      <c r="L141" s="96" cm="1">
        <f t="array" ref="L141">'Manpower Projection'!$L$16</f>
        <v>51.69</v>
      </c>
      <c r="M141" s="96">
        <f>'Manpower Projection'!$M$16</f>
        <v>83.549310344827575</v>
      </c>
      <c r="N141" s="96">
        <f>IFERROR('Manpower Projection'!H141*'Manpower Projection'!L141,"")</f>
        <v>0</v>
      </c>
      <c r="O141" s="96">
        <f>IFERROR('Manpower Projection'!M141*'Manpower Projection'!H141,"")</f>
        <v>0</v>
      </c>
    </row>
    <row r="142" spans="6:15" ht="15" customHeight="1">
      <c r="F142" s="94"/>
      <c r="G142" s="95"/>
      <c r="H142" s="95"/>
      <c r="I142" s="95"/>
      <c r="J142" s="95"/>
      <c r="K142" s="95">
        <f>IFERROR('Manpower Projection'!H142*'Manpower Projection'!I142*'Manpower Projection'!J142,0)</f>
        <v>0</v>
      </c>
      <c r="L142" s="96" cm="1">
        <f t="array" ref="L142">'Manpower Projection'!$L$16</f>
        <v>51.69</v>
      </c>
      <c r="M142" s="96">
        <f>'Manpower Projection'!$M$16</f>
        <v>83.549310344827575</v>
      </c>
      <c r="N142" s="96">
        <f>IFERROR('Manpower Projection'!H142*'Manpower Projection'!L142,"")</f>
        <v>0</v>
      </c>
      <c r="O142" s="96">
        <f>IFERROR('Manpower Projection'!M142*'Manpower Projection'!H142,"")</f>
        <v>0</v>
      </c>
    </row>
    <row r="143" spans="6:15" ht="15" customHeight="1">
      <c r="F143" s="94"/>
      <c r="G143" s="95"/>
      <c r="H143" s="95"/>
      <c r="I143" s="95"/>
      <c r="J143" s="95"/>
      <c r="K143" s="95">
        <f>IFERROR('Manpower Projection'!H143*'Manpower Projection'!I143*'Manpower Projection'!J143,0)</f>
        <v>0</v>
      </c>
      <c r="L143" s="96" cm="1">
        <f t="array" ref="L143">'Manpower Projection'!$L$16</f>
        <v>51.69</v>
      </c>
      <c r="M143" s="96">
        <f>'Manpower Projection'!$M$16</f>
        <v>83.549310344827575</v>
      </c>
      <c r="N143" s="96">
        <f>IFERROR('Manpower Projection'!H143*'Manpower Projection'!L143,"")</f>
        <v>0</v>
      </c>
      <c r="O143" s="96">
        <f>IFERROR('Manpower Projection'!M143*'Manpower Projection'!H143,"")</f>
        <v>0</v>
      </c>
    </row>
    <row r="144" spans="6:15" ht="15" customHeight="1">
      <c r="F144" s="94"/>
      <c r="G144" s="95"/>
      <c r="H144" s="95"/>
      <c r="I144" s="95"/>
      <c r="J144" s="95"/>
      <c r="K144" s="95">
        <f>IFERROR('Manpower Projection'!H144*'Manpower Projection'!I144*'Manpower Projection'!J144,0)</f>
        <v>0</v>
      </c>
      <c r="L144" s="96" cm="1">
        <f t="array" ref="L144">'Manpower Projection'!$L$16</f>
        <v>51.69</v>
      </c>
      <c r="M144" s="96">
        <f>'Manpower Projection'!$M$16</f>
        <v>83.549310344827575</v>
      </c>
      <c r="N144" s="96">
        <f>IFERROR('Manpower Projection'!H144*'Manpower Projection'!L144,"")</f>
        <v>0</v>
      </c>
      <c r="O144" s="96">
        <f>IFERROR('Manpower Projection'!M144*'Manpower Projection'!H144,"")</f>
        <v>0</v>
      </c>
    </row>
    <row r="145" spans="6:15" ht="15" customHeight="1">
      <c r="F145" s="94"/>
      <c r="G145" s="95"/>
      <c r="H145" s="95"/>
      <c r="I145" s="95"/>
      <c r="J145" s="95"/>
      <c r="K145" s="95">
        <f>IFERROR('Manpower Projection'!H145*'Manpower Projection'!I145*'Manpower Projection'!J145,0)</f>
        <v>0</v>
      </c>
      <c r="L145" s="96" cm="1">
        <f t="array" ref="L145">'Manpower Projection'!$L$16</f>
        <v>51.69</v>
      </c>
      <c r="M145" s="96">
        <f>'Manpower Projection'!$M$16</f>
        <v>83.549310344827575</v>
      </c>
      <c r="N145" s="96">
        <f>IFERROR('Manpower Projection'!H145*'Manpower Projection'!L145,"")</f>
        <v>0</v>
      </c>
      <c r="O145" s="96">
        <f>IFERROR('Manpower Projection'!M145*'Manpower Projection'!H145,"")</f>
        <v>0</v>
      </c>
    </row>
    <row r="146" spans="6:15" ht="15" customHeight="1">
      <c r="F146" s="94"/>
      <c r="G146" s="95"/>
      <c r="H146" s="95"/>
      <c r="I146" s="95"/>
      <c r="J146" s="95"/>
      <c r="K146" s="95">
        <f>IFERROR('Manpower Projection'!H146*'Manpower Projection'!I146*'Manpower Projection'!J146,0)</f>
        <v>0</v>
      </c>
      <c r="L146" s="96" cm="1">
        <f t="array" ref="L146">'Manpower Projection'!$L$16</f>
        <v>51.69</v>
      </c>
      <c r="M146" s="96">
        <f>'Manpower Projection'!$M$16</f>
        <v>83.549310344827575</v>
      </c>
      <c r="N146" s="96">
        <f>IFERROR('Manpower Projection'!H146*'Manpower Projection'!L146,"")</f>
        <v>0</v>
      </c>
      <c r="O146" s="96">
        <f>IFERROR('Manpower Projection'!M146*'Manpower Projection'!H146,"")</f>
        <v>0</v>
      </c>
    </row>
    <row r="147" spans="6:15" ht="15" customHeight="1">
      <c r="F147" s="94"/>
      <c r="G147" s="95"/>
      <c r="H147" s="95"/>
      <c r="I147" s="95"/>
      <c r="J147" s="95"/>
      <c r="K147" s="95">
        <f>IFERROR('Manpower Projection'!H147*'Manpower Projection'!I147*'Manpower Projection'!J147,0)</f>
        <v>0</v>
      </c>
      <c r="L147" s="96" cm="1">
        <f t="array" ref="L147">'Manpower Projection'!$L$16</f>
        <v>51.69</v>
      </c>
      <c r="M147" s="96">
        <f>'Manpower Projection'!$M$16</f>
        <v>83.549310344827575</v>
      </c>
      <c r="N147" s="96">
        <f>IFERROR('Manpower Projection'!H147*'Manpower Projection'!L147,"")</f>
        <v>0</v>
      </c>
      <c r="O147" s="96">
        <f>IFERROR('Manpower Projection'!M147*'Manpower Projection'!H147,"")</f>
        <v>0</v>
      </c>
    </row>
    <row r="148" spans="6:15" ht="15" customHeight="1">
      <c r="F148" s="94"/>
      <c r="G148" s="95"/>
      <c r="H148" s="95"/>
      <c r="I148" s="95"/>
      <c r="J148" s="95"/>
      <c r="K148" s="95">
        <f>IFERROR('Manpower Projection'!H148*'Manpower Projection'!I148*'Manpower Projection'!J148,0)</f>
        <v>0</v>
      </c>
      <c r="L148" s="96" cm="1">
        <f t="array" ref="L148">'Manpower Projection'!$L$16</f>
        <v>51.69</v>
      </c>
      <c r="M148" s="96">
        <f>'Manpower Projection'!$M$16</f>
        <v>83.549310344827575</v>
      </c>
      <c r="N148" s="96">
        <f>IFERROR('Manpower Projection'!H148*'Manpower Projection'!L148,"")</f>
        <v>0</v>
      </c>
      <c r="O148" s="96">
        <f>IFERROR('Manpower Projection'!M148*'Manpower Projection'!H148,"")</f>
        <v>0</v>
      </c>
    </row>
    <row r="149" spans="6:15" ht="15" customHeight="1">
      <c r="F149" s="94"/>
      <c r="G149" s="95"/>
      <c r="H149" s="95"/>
      <c r="I149" s="95"/>
      <c r="J149" s="95"/>
      <c r="K149" s="95">
        <f>IFERROR('Manpower Projection'!H149*'Manpower Projection'!I149*'Manpower Projection'!J149,0)</f>
        <v>0</v>
      </c>
      <c r="L149" s="96" cm="1">
        <f t="array" ref="L149">'Manpower Projection'!$L$16</f>
        <v>51.69</v>
      </c>
      <c r="M149" s="96">
        <f>'Manpower Projection'!$M$16</f>
        <v>83.549310344827575</v>
      </c>
      <c r="N149" s="96">
        <f>IFERROR('Manpower Projection'!H149*'Manpower Projection'!L149,"")</f>
        <v>0</v>
      </c>
      <c r="O149" s="96">
        <f>IFERROR('Manpower Projection'!M149*'Manpower Projection'!H149,"")</f>
        <v>0</v>
      </c>
    </row>
    <row r="150" spans="6:15" ht="15" customHeight="1">
      <c r="F150" s="94"/>
      <c r="G150" s="95"/>
      <c r="H150" s="95"/>
      <c r="I150" s="95"/>
      <c r="J150" s="95"/>
      <c r="K150" s="95">
        <f>IFERROR('Manpower Projection'!H150*'Manpower Projection'!I150*'Manpower Projection'!J150,0)</f>
        <v>0</v>
      </c>
      <c r="L150" s="96" cm="1">
        <f t="array" ref="L150">'Manpower Projection'!$L$16</f>
        <v>51.69</v>
      </c>
      <c r="M150" s="96">
        <f>'Manpower Projection'!$M$16</f>
        <v>83.549310344827575</v>
      </c>
      <c r="N150" s="96">
        <f>IFERROR('Manpower Projection'!H150*'Manpower Projection'!L150,"")</f>
        <v>0</v>
      </c>
      <c r="O150" s="96">
        <f>IFERROR('Manpower Projection'!M150*'Manpower Projection'!H150,"")</f>
        <v>0</v>
      </c>
    </row>
    <row r="151" spans="6:15" ht="15" customHeight="1">
      <c r="F151" s="94"/>
      <c r="G151" s="95"/>
      <c r="H151" s="95"/>
      <c r="I151" s="95"/>
      <c r="J151" s="95"/>
      <c r="K151" s="95">
        <f>IFERROR('Manpower Projection'!H151*'Manpower Projection'!I151*'Manpower Projection'!J151,0)</f>
        <v>0</v>
      </c>
      <c r="L151" s="96" cm="1">
        <f t="array" ref="L151">'Manpower Projection'!$L$16</f>
        <v>51.69</v>
      </c>
      <c r="M151" s="96">
        <f>'Manpower Projection'!$M$16</f>
        <v>83.549310344827575</v>
      </c>
      <c r="N151" s="96">
        <f>IFERROR('Manpower Projection'!H151*'Manpower Projection'!L151,"")</f>
        <v>0</v>
      </c>
      <c r="O151" s="96">
        <f>IFERROR('Manpower Projection'!M151*'Manpower Projection'!H151,"")</f>
        <v>0</v>
      </c>
    </row>
    <row r="152" spans="6:15" ht="15" customHeight="1">
      <c r="F152" s="94"/>
      <c r="G152" s="95"/>
      <c r="H152" s="95"/>
      <c r="I152" s="95"/>
      <c r="J152" s="95"/>
      <c r="K152" s="95">
        <f>IFERROR('Manpower Projection'!H152*'Manpower Projection'!I152*'Manpower Projection'!J152,0)</f>
        <v>0</v>
      </c>
      <c r="L152" s="96" cm="1">
        <f t="array" ref="L152">'Manpower Projection'!$L$16</f>
        <v>51.69</v>
      </c>
      <c r="M152" s="96">
        <f>'Manpower Projection'!$M$16</f>
        <v>83.549310344827575</v>
      </c>
      <c r="N152" s="96">
        <f>IFERROR('Manpower Projection'!H152*'Manpower Projection'!L152,"")</f>
        <v>0</v>
      </c>
      <c r="O152" s="96">
        <f>IFERROR('Manpower Projection'!M152*'Manpower Projection'!H152,"")</f>
        <v>0</v>
      </c>
    </row>
    <row r="153" spans="6:15" ht="15" customHeight="1">
      <c r="F153" s="94"/>
      <c r="G153" s="95"/>
      <c r="H153" s="95"/>
      <c r="I153" s="95"/>
      <c r="J153" s="95"/>
      <c r="K153" s="95">
        <f>IFERROR('Manpower Projection'!H153*'Manpower Projection'!I153*'Manpower Projection'!J153,0)</f>
        <v>0</v>
      </c>
      <c r="L153" s="96" cm="1">
        <f t="array" ref="L153">'Manpower Projection'!$L$16</f>
        <v>51.69</v>
      </c>
      <c r="M153" s="96">
        <f>'Manpower Projection'!$M$16</f>
        <v>83.549310344827575</v>
      </c>
      <c r="N153" s="96">
        <f>IFERROR('Manpower Projection'!H153*'Manpower Projection'!L153,"")</f>
        <v>0</v>
      </c>
      <c r="O153" s="96">
        <f>IFERROR('Manpower Projection'!M153*'Manpower Projection'!H153,"")</f>
        <v>0</v>
      </c>
    </row>
    <row r="154" spans="6:15" ht="15" customHeight="1">
      <c r="F154" s="94"/>
      <c r="G154" s="95"/>
      <c r="H154" s="95"/>
      <c r="I154" s="95"/>
      <c r="J154" s="95"/>
      <c r="K154" s="95">
        <f>IFERROR('Manpower Projection'!H154*'Manpower Projection'!I154*'Manpower Projection'!J154,0)</f>
        <v>0</v>
      </c>
      <c r="L154" s="96" cm="1">
        <f t="array" ref="L154">'Manpower Projection'!$L$16</f>
        <v>51.69</v>
      </c>
      <c r="M154" s="96">
        <f>'Manpower Projection'!$M$16</f>
        <v>83.549310344827575</v>
      </c>
      <c r="N154" s="96">
        <f>IFERROR('Manpower Projection'!H154*'Manpower Projection'!L154,"")</f>
        <v>0</v>
      </c>
      <c r="O154" s="96">
        <f>IFERROR('Manpower Projection'!M154*'Manpower Projection'!H154,"")</f>
        <v>0</v>
      </c>
    </row>
    <row r="155" spans="6:15" ht="15" customHeight="1">
      <c r="F155" s="94"/>
      <c r="G155" s="95"/>
      <c r="H155" s="95"/>
      <c r="I155" s="95"/>
      <c r="J155" s="95"/>
      <c r="K155" s="95">
        <f>IFERROR('Manpower Projection'!H155*'Manpower Projection'!I155*'Manpower Projection'!J155,0)</f>
        <v>0</v>
      </c>
      <c r="L155" s="96" cm="1">
        <f t="array" ref="L155">'Manpower Projection'!$L$16</f>
        <v>51.69</v>
      </c>
      <c r="M155" s="96">
        <f>'Manpower Projection'!$M$16</f>
        <v>83.549310344827575</v>
      </c>
      <c r="N155" s="96">
        <f>IFERROR('Manpower Projection'!H155*'Manpower Projection'!L155,"")</f>
        <v>0</v>
      </c>
      <c r="O155" s="96">
        <f>IFERROR('Manpower Projection'!M155*'Manpower Projection'!H155,"")</f>
        <v>0</v>
      </c>
    </row>
    <row r="156" spans="6:15" ht="15" customHeight="1">
      <c r="F156" s="94"/>
      <c r="G156" s="95"/>
      <c r="H156" s="95"/>
      <c r="I156" s="95"/>
      <c r="J156" s="95"/>
      <c r="K156" s="95">
        <f>IFERROR('Manpower Projection'!H156*'Manpower Projection'!I156*'Manpower Projection'!J156,0)</f>
        <v>0</v>
      </c>
      <c r="L156" s="96" cm="1">
        <f t="array" ref="L156">'Manpower Projection'!$L$16</f>
        <v>51.69</v>
      </c>
      <c r="M156" s="96">
        <f>'Manpower Projection'!$M$16</f>
        <v>83.549310344827575</v>
      </c>
      <c r="N156" s="96">
        <f>IFERROR('Manpower Projection'!H156*'Manpower Projection'!L156,"")</f>
        <v>0</v>
      </c>
      <c r="O156" s="96">
        <f>IFERROR('Manpower Projection'!M156*'Manpower Projection'!H156,"")</f>
        <v>0</v>
      </c>
    </row>
    <row r="157" spans="6:15" ht="15" customHeight="1">
      <c r="F157" s="94"/>
      <c r="G157" s="95"/>
      <c r="H157" s="95"/>
      <c r="I157" s="95"/>
      <c r="J157" s="95"/>
      <c r="K157" s="95">
        <f>IFERROR('Manpower Projection'!H157*'Manpower Projection'!I157*'Manpower Projection'!J157,0)</f>
        <v>0</v>
      </c>
      <c r="L157" s="96" cm="1">
        <f t="array" ref="L157">'Manpower Projection'!$L$16</f>
        <v>51.69</v>
      </c>
      <c r="M157" s="96">
        <f>'Manpower Projection'!$M$16</f>
        <v>83.549310344827575</v>
      </c>
      <c r="N157" s="96">
        <f>IFERROR('Manpower Projection'!H157*'Manpower Projection'!L157,"")</f>
        <v>0</v>
      </c>
      <c r="O157" s="96">
        <f>IFERROR('Manpower Projection'!M157*'Manpower Projection'!H157,"")</f>
        <v>0</v>
      </c>
    </row>
    <row r="158" spans="6:15" ht="15" customHeight="1">
      <c r="F158" s="94"/>
      <c r="G158" s="95"/>
      <c r="H158" s="95"/>
      <c r="I158" s="95"/>
      <c r="J158" s="95"/>
      <c r="K158" s="95">
        <f>IFERROR('Manpower Projection'!H158*'Manpower Projection'!I158*'Manpower Projection'!J158,0)</f>
        <v>0</v>
      </c>
      <c r="L158" s="96" cm="1">
        <f t="array" ref="L158">'Manpower Projection'!$L$16</f>
        <v>51.69</v>
      </c>
      <c r="M158" s="96">
        <f>'Manpower Projection'!$M$16</f>
        <v>83.549310344827575</v>
      </c>
      <c r="N158" s="96">
        <f>IFERROR('Manpower Projection'!H158*'Manpower Projection'!L158,"")</f>
        <v>0</v>
      </c>
      <c r="O158" s="96">
        <f>IFERROR('Manpower Projection'!M158*'Manpower Projection'!H158,"")</f>
        <v>0</v>
      </c>
    </row>
    <row r="159" spans="6:15" ht="15" customHeight="1">
      <c r="F159" s="94"/>
      <c r="G159" s="95"/>
      <c r="H159" s="95"/>
      <c r="I159" s="95"/>
      <c r="J159" s="95"/>
      <c r="K159" s="95">
        <f>IFERROR('Manpower Projection'!H159*'Manpower Projection'!I159*'Manpower Projection'!J159,0)</f>
        <v>0</v>
      </c>
      <c r="L159" s="96" cm="1">
        <f t="array" ref="L159">'Manpower Projection'!$L$16</f>
        <v>51.69</v>
      </c>
      <c r="M159" s="96">
        <f>'Manpower Projection'!$M$16</f>
        <v>83.549310344827575</v>
      </c>
      <c r="N159" s="96">
        <f>IFERROR('Manpower Projection'!H159*'Manpower Projection'!L159,"")</f>
        <v>0</v>
      </c>
      <c r="O159" s="96">
        <f>IFERROR('Manpower Projection'!M159*'Manpower Projection'!H159,"")</f>
        <v>0</v>
      </c>
    </row>
    <row r="160" spans="6:15" ht="15" customHeight="1">
      <c r="F160" s="94"/>
      <c r="G160" s="95"/>
      <c r="H160" s="95"/>
      <c r="I160" s="95"/>
      <c r="J160" s="95"/>
      <c r="K160" s="95">
        <f>IFERROR('Manpower Projection'!H160*'Manpower Projection'!I160*'Manpower Projection'!J160,0)</f>
        <v>0</v>
      </c>
      <c r="L160" s="96" cm="1">
        <f t="array" ref="L160">'Manpower Projection'!$L$16</f>
        <v>51.69</v>
      </c>
      <c r="M160" s="96">
        <f>'Manpower Projection'!$M$16</f>
        <v>83.549310344827575</v>
      </c>
      <c r="N160" s="96">
        <f>IFERROR('Manpower Projection'!H160*'Manpower Projection'!L160,"")</f>
        <v>0</v>
      </c>
      <c r="O160" s="96">
        <f>IFERROR('Manpower Projection'!M160*'Manpower Projection'!H160,"")</f>
        <v>0</v>
      </c>
    </row>
    <row r="161" spans="6:15" ht="15" customHeight="1">
      <c r="F161" s="94"/>
      <c r="G161" s="95"/>
      <c r="H161" s="95"/>
      <c r="I161" s="95"/>
      <c r="J161" s="95"/>
      <c r="K161" s="95">
        <f>IFERROR('Manpower Projection'!H161*'Manpower Projection'!I161*'Manpower Projection'!J161,0)</f>
        <v>0</v>
      </c>
      <c r="L161" s="96" cm="1">
        <f t="array" ref="L161">'Manpower Projection'!$L$16</f>
        <v>51.69</v>
      </c>
      <c r="M161" s="96">
        <f>'Manpower Projection'!$M$16</f>
        <v>83.549310344827575</v>
      </c>
      <c r="N161" s="96">
        <f>IFERROR('Manpower Projection'!H161*'Manpower Projection'!L161,"")</f>
        <v>0</v>
      </c>
      <c r="O161" s="96">
        <f>IFERROR('Manpower Projection'!M161*'Manpower Projection'!H161,"")</f>
        <v>0</v>
      </c>
    </row>
    <row r="162" spans="6:15" ht="15" customHeight="1">
      <c r="F162" s="94"/>
      <c r="G162" s="95"/>
      <c r="H162" s="95"/>
      <c r="I162" s="95"/>
      <c r="J162" s="95"/>
      <c r="K162" s="95">
        <f>IFERROR('Manpower Projection'!H162*'Manpower Projection'!I162*'Manpower Projection'!J162,0)</f>
        <v>0</v>
      </c>
      <c r="L162" s="96" cm="1">
        <f t="array" ref="L162">'Manpower Projection'!$L$16</f>
        <v>51.69</v>
      </c>
      <c r="M162" s="96">
        <f>'Manpower Projection'!$M$16</f>
        <v>83.549310344827575</v>
      </c>
      <c r="N162" s="96">
        <f>IFERROR('Manpower Projection'!H162*'Manpower Projection'!L162,"")</f>
        <v>0</v>
      </c>
      <c r="O162" s="96">
        <f>IFERROR('Manpower Projection'!M162*'Manpower Projection'!H162,"")</f>
        <v>0</v>
      </c>
    </row>
    <row r="163" spans="6:15" ht="15" customHeight="1">
      <c r="F163" s="94"/>
      <c r="G163" s="95"/>
      <c r="H163" s="95"/>
      <c r="I163" s="95"/>
      <c r="J163" s="95"/>
      <c r="K163" s="95">
        <f>IFERROR('Manpower Projection'!H163*'Manpower Projection'!I163*'Manpower Projection'!J163,0)</f>
        <v>0</v>
      </c>
      <c r="L163" s="96" cm="1">
        <f t="array" ref="L163">'Manpower Projection'!$L$16</f>
        <v>51.69</v>
      </c>
      <c r="M163" s="96">
        <f>'Manpower Projection'!$M$16</f>
        <v>83.549310344827575</v>
      </c>
      <c r="N163" s="96">
        <f>IFERROR('Manpower Projection'!H163*'Manpower Projection'!L163,"")</f>
        <v>0</v>
      </c>
      <c r="O163" s="96">
        <f>IFERROR('Manpower Projection'!M163*'Manpower Projection'!H163,"")</f>
        <v>0</v>
      </c>
    </row>
    <row r="164" spans="6:15" ht="15" customHeight="1">
      <c r="F164" s="94"/>
      <c r="G164" s="95"/>
      <c r="H164" s="95"/>
      <c r="I164" s="95"/>
      <c r="J164" s="95"/>
      <c r="K164" s="95">
        <f>IFERROR('Manpower Projection'!H164*'Manpower Projection'!I164*'Manpower Projection'!J164,0)</f>
        <v>0</v>
      </c>
      <c r="L164" s="96" cm="1">
        <f t="array" ref="L164">'Manpower Projection'!$L$16</f>
        <v>51.69</v>
      </c>
      <c r="M164" s="96">
        <f>'Manpower Projection'!$M$16</f>
        <v>83.549310344827575</v>
      </c>
      <c r="N164" s="96">
        <f>IFERROR('Manpower Projection'!H164*'Manpower Projection'!L164,"")</f>
        <v>0</v>
      </c>
      <c r="O164" s="96">
        <f>IFERROR('Manpower Projection'!M164*'Manpower Projection'!H164,"")</f>
        <v>0</v>
      </c>
    </row>
    <row r="165" spans="6:15" ht="15" customHeight="1">
      <c r="F165" s="94"/>
      <c r="G165" s="95"/>
      <c r="H165" s="95"/>
      <c r="I165" s="95"/>
      <c r="J165" s="95"/>
      <c r="K165" s="95">
        <f>IFERROR('Manpower Projection'!H165*'Manpower Projection'!I165*'Manpower Projection'!J165,0)</f>
        <v>0</v>
      </c>
      <c r="L165" s="96" cm="1">
        <f t="array" ref="L165">'Manpower Projection'!$L$16</f>
        <v>51.69</v>
      </c>
      <c r="M165" s="96">
        <f>'Manpower Projection'!$M$16</f>
        <v>83.549310344827575</v>
      </c>
      <c r="N165" s="96">
        <f>IFERROR('Manpower Projection'!H165*'Manpower Projection'!L165,"")</f>
        <v>0</v>
      </c>
      <c r="O165" s="96">
        <f>IFERROR('Manpower Projection'!M165*'Manpower Projection'!H165,"")</f>
        <v>0</v>
      </c>
    </row>
    <row r="166" spans="6:15" ht="15" customHeight="1">
      <c r="F166" s="94"/>
      <c r="G166" s="95"/>
      <c r="H166" s="95"/>
      <c r="I166" s="95"/>
      <c r="J166" s="95"/>
      <c r="K166" s="95">
        <f>IFERROR('Manpower Projection'!H166*'Manpower Projection'!I166*'Manpower Projection'!J166,0)</f>
        <v>0</v>
      </c>
      <c r="L166" s="96" cm="1">
        <f t="array" ref="L166">'Manpower Projection'!$L$16</f>
        <v>51.69</v>
      </c>
      <c r="M166" s="96">
        <f>'Manpower Projection'!$M$16</f>
        <v>83.549310344827575</v>
      </c>
      <c r="N166" s="96">
        <f>IFERROR('Manpower Projection'!H166*'Manpower Projection'!L166,"")</f>
        <v>0</v>
      </c>
      <c r="O166" s="96">
        <f>IFERROR('Manpower Projection'!M166*'Manpower Projection'!H166,"")</f>
        <v>0</v>
      </c>
    </row>
    <row r="167" spans="6:15" ht="15" customHeight="1">
      <c r="F167" s="94"/>
      <c r="G167" s="95"/>
      <c r="H167" s="95"/>
      <c r="I167" s="95"/>
      <c r="J167" s="95"/>
      <c r="K167" s="95">
        <f>IFERROR('Manpower Projection'!H167*'Manpower Projection'!I167*'Manpower Projection'!J167,0)</f>
        <v>0</v>
      </c>
      <c r="L167" s="96" cm="1">
        <f t="array" ref="L167">'Manpower Projection'!$L$16</f>
        <v>51.69</v>
      </c>
      <c r="M167" s="96">
        <f>'Manpower Projection'!$M$16</f>
        <v>83.549310344827575</v>
      </c>
      <c r="N167" s="96">
        <f>IFERROR('Manpower Projection'!H167*'Manpower Projection'!L167,"")</f>
        <v>0</v>
      </c>
      <c r="O167" s="96">
        <f>IFERROR('Manpower Projection'!M167*'Manpower Projection'!H167,"")</f>
        <v>0</v>
      </c>
    </row>
    <row r="168" spans="6:15" ht="15" customHeight="1">
      <c r="F168" s="94"/>
      <c r="G168" s="95"/>
      <c r="H168" s="95"/>
      <c r="I168" s="95"/>
      <c r="J168" s="95"/>
      <c r="K168" s="95">
        <f>IFERROR('Manpower Projection'!H168*'Manpower Projection'!I168*'Manpower Projection'!J168,0)</f>
        <v>0</v>
      </c>
      <c r="L168" s="96" cm="1">
        <f t="array" ref="L168">'Manpower Projection'!$L$16</f>
        <v>51.69</v>
      </c>
      <c r="M168" s="96">
        <f>'Manpower Projection'!$M$16</f>
        <v>83.549310344827575</v>
      </c>
      <c r="N168" s="96">
        <f>IFERROR('Manpower Projection'!H168*'Manpower Projection'!L168,"")</f>
        <v>0</v>
      </c>
      <c r="O168" s="96">
        <f>IFERROR('Manpower Projection'!M168*'Manpower Projection'!H168,"")</f>
        <v>0</v>
      </c>
    </row>
    <row r="169" spans="6:15" ht="15" customHeight="1">
      <c r="F169" s="94"/>
      <c r="G169" s="95"/>
      <c r="H169" s="95"/>
      <c r="I169" s="95"/>
      <c r="J169" s="95"/>
      <c r="K169" s="95">
        <f>IFERROR('Manpower Projection'!H169*'Manpower Projection'!I169*'Manpower Projection'!J169,0)</f>
        <v>0</v>
      </c>
      <c r="L169" s="96" cm="1">
        <f t="array" ref="L169">'Manpower Projection'!$L$16</f>
        <v>51.69</v>
      </c>
      <c r="M169" s="96">
        <f>'Manpower Projection'!$M$16</f>
        <v>83.549310344827575</v>
      </c>
      <c r="N169" s="96">
        <f>IFERROR('Manpower Projection'!H169*'Manpower Projection'!L169,"")</f>
        <v>0</v>
      </c>
      <c r="O169" s="96">
        <f>IFERROR('Manpower Projection'!M169*'Manpower Projection'!H169,"")</f>
        <v>0</v>
      </c>
    </row>
    <row r="170" spans="6:15" ht="15" customHeight="1">
      <c r="F170" s="94"/>
      <c r="G170" s="95"/>
      <c r="H170" s="95"/>
      <c r="I170" s="95"/>
      <c r="J170" s="95"/>
      <c r="K170" s="95">
        <f>IFERROR('Manpower Projection'!H170*'Manpower Projection'!I170*'Manpower Projection'!J170,0)</f>
        <v>0</v>
      </c>
      <c r="L170" s="96" cm="1">
        <f t="array" ref="L170">'Manpower Projection'!$L$16</f>
        <v>51.69</v>
      </c>
      <c r="M170" s="96">
        <f>'Manpower Projection'!$M$16</f>
        <v>83.549310344827575</v>
      </c>
      <c r="N170" s="96">
        <f>IFERROR('Manpower Projection'!H170*'Manpower Projection'!L170,"")</f>
        <v>0</v>
      </c>
      <c r="O170" s="96">
        <f>IFERROR('Manpower Projection'!M170*'Manpower Projection'!H170,"")</f>
        <v>0</v>
      </c>
    </row>
    <row r="171" spans="6:15" ht="15" customHeight="1">
      <c r="F171" s="94"/>
      <c r="G171" s="95"/>
      <c r="H171" s="95"/>
      <c r="I171" s="95"/>
      <c r="J171" s="95"/>
      <c r="K171" s="95">
        <f>IFERROR('Manpower Projection'!H171*'Manpower Projection'!I171*'Manpower Projection'!J171,0)</f>
        <v>0</v>
      </c>
      <c r="L171" s="96" cm="1">
        <f t="array" ref="L171">'Manpower Projection'!$L$16</f>
        <v>51.69</v>
      </c>
      <c r="M171" s="96">
        <f>'Manpower Projection'!$M$16</f>
        <v>83.549310344827575</v>
      </c>
      <c r="N171" s="96">
        <f>IFERROR('Manpower Projection'!H171*'Manpower Projection'!L171,"")</f>
        <v>0</v>
      </c>
      <c r="O171" s="96">
        <f>IFERROR('Manpower Projection'!M171*'Manpower Projection'!H171,"")</f>
        <v>0</v>
      </c>
    </row>
    <row r="172" spans="6:15" ht="15" customHeight="1">
      <c r="F172" s="94"/>
      <c r="G172" s="95"/>
      <c r="H172" s="95"/>
      <c r="I172" s="95"/>
      <c r="J172" s="95"/>
      <c r="K172" s="95">
        <f>IFERROR('Manpower Projection'!H172*'Manpower Projection'!I172*'Manpower Projection'!J172,0)</f>
        <v>0</v>
      </c>
      <c r="L172" s="96" cm="1">
        <f t="array" ref="L172">'Manpower Projection'!$L$16</f>
        <v>51.69</v>
      </c>
      <c r="M172" s="96">
        <f>'Manpower Projection'!$M$16</f>
        <v>83.549310344827575</v>
      </c>
      <c r="N172" s="96">
        <f>IFERROR('Manpower Projection'!H172*'Manpower Projection'!L172,"")</f>
        <v>0</v>
      </c>
      <c r="O172" s="96">
        <f>IFERROR('Manpower Projection'!M172*'Manpower Projection'!H172,"")</f>
        <v>0</v>
      </c>
    </row>
    <row r="173" spans="6:15" ht="15" customHeight="1">
      <c r="F173" s="94"/>
      <c r="G173" s="95"/>
      <c r="H173" s="95"/>
      <c r="I173" s="95"/>
      <c r="J173" s="95"/>
      <c r="K173" s="95">
        <f>IFERROR('Manpower Projection'!H173*'Manpower Projection'!I173*'Manpower Projection'!J173,0)</f>
        <v>0</v>
      </c>
      <c r="L173" s="96" cm="1">
        <f t="array" ref="L173">'Manpower Projection'!$L$16</f>
        <v>51.69</v>
      </c>
      <c r="M173" s="96">
        <f>'Manpower Projection'!$M$16</f>
        <v>83.549310344827575</v>
      </c>
      <c r="N173" s="96">
        <f>IFERROR('Manpower Projection'!H173*'Manpower Projection'!L173,"")</f>
        <v>0</v>
      </c>
      <c r="O173" s="96">
        <f>IFERROR('Manpower Projection'!M173*'Manpower Projection'!H173,"")</f>
        <v>0</v>
      </c>
    </row>
    <row r="174" spans="6:15" ht="15" customHeight="1">
      <c r="F174" s="94"/>
      <c r="G174" s="95"/>
      <c r="H174" s="95"/>
      <c r="I174" s="95"/>
      <c r="J174" s="95"/>
      <c r="K174" s="95">
        <f>IFERROR('Manpower Projection'!H174*'Manpower Projection'!I174*'Manpower Projection'!J174,0)</f>
        <v>0</v>
      </c>
      <c r="L174" s="96" cm="1">
        <f t="array" ref="L174">'Manpower Projection'!$L$16</f>
        <v>51.69</v>
      </c>
      <c r="M174" s="96">
        <f>'Manpower Projection'!$M$16</f>
        <v>83.549310344827575</v>
      </c>
      <c r="N174" s="96">
        <f>IFERROR('Manpower Projection'!H174*'Manpower Projection'!L174,"")</f>
        <v>0</v>
      </c>
      <c r="O174" s="96">
        <f>IFERROR('Manpower Projection'!M174*'Manpower Projection'!H174,"")</f>
        <v>0</v>
      </c>
    </row>
    <row r="175" spans="6:15" ht="15" customHeight="1">
      <c r="F175" s="94"/>
      <c r="G175" s="95"/>
      <c r="H175" s="95"/>
      <c r="I175" s="95"/>
      <c r="J175" s="95"/>
      <c r="K175" s="95">
        <f>IFERROR('Manpower Projection'!H175*'Manpower Projection'!I175*'Manpower Projection'!J175,0)</f>
        <v>0</v>
      </c>
      <c r="L175" s="96" cm="1">
        <f t="array" ref="L175">'Manpower Projection'!$L$16</f>
        <v>51.69</v>
      </c>
      <c r="M175" s="96">
        <f>'Manpower Projection'!$M$16</f>
        <v>83.549310344827575</v>
      </c>
      <c r="N175" s="96">
        <f>IFERROR('Manpower Projection'!H175*'Manpower Projection'!L175,"")</f>
        <v>0</v>
      </c>
      <c r="O175" s="96">
        <f>IFERROR('Manpower Projection'!M175*'Manpower Projection'!H175,"")</f>
        <v>0</v>
      </c>
    </row>
    <row r="176" spans="6:15" ht="15" customHeight="1">
      <c r="F176" s="94"/>
      <c r="G176" s="95"/>
      <c r="H176" s="95"/>
      <c r="I176" s="95"/>
      <c r="J176" s="95"/>
      <c r="K176" s="95">
        <f>IFERROR('Manpower Projection'!H176*'Manpower Projection'!I176*'Manpower Projection'!J176,0)</f>
        <v>0</v>
      </c>
      <c r="L176" s="96" cm="1">
        <f t="array" ref="L176">'Manpower Projection'!$L$16</f>
        <v>51.69</v>
      </c>
      <c r="M176" s="96">
        <f>'Manpower Projection'!$M$16</f>
        <v>83.549310344827575</v>
      </c>
      <c r="N176" s="96">
        <f>IFERROR('Manpower Projection'!H176*'Manpower Projection'!L176,"")</f>
        <v>0</v>
      </c>
      <c r="O176" s="96">
        <f>IFERROR('Manpower Projection'!M176*'Manpower Projection'!H176,"")</f>
        <v>0</v>
      </c>
    </row>
    <row r="177" spans="6:15" ht="15" customHeight="1">
      <c r="F177" s="94"/>
      <c r="G177" s="95"/>
      <c r="H177" s="95"/>
      <c r="I177" s="95"/>
      <c r="J177" s="95"/>
      <c r="K177" s="95">
        <f>IFERROR('Manpower Projection'!H177*'Manpower Projection'!I177*'Manpower Projection'!J177,0)</f>
        <v>0</v>
      </c>
      <c r="L177" s="96" cm="1">
        <f t="array" ref="L177">'Manpower Projection'!$L$16</f>
        <v>51.69</v>
      </c>
      <c r="M177" s="96">
        <f>'Manpower Projection'!$M$16</f>
        <v>83.549310344827575</v>
      </c>
      <c r="N177" s="96">
        <f>IFERROR('Manpower Projection'!H177*'Manpower Projection'!L177,"")</f>
        <v>0</v>
      </c>
      <c r="O177" s="96">
        <f>IFERROR('Manpower Projection'!M177*'Manpower Projection'!H177,"")</f>
        <v>0</v>
      </c>
    </row>
    <row r="178" spans="6:15" ht="15" customHeight="1">
      <c r="F178" s="94"/>
      <c r="G178" s="95"/>
      <c r="H178" s="95"/>
      <c r="I178" s="95"/>
      <c r="J178" s="95"/>
      <c r="K178" s="95">
        <f>IFERROR('Manpower Projection'!H178*'Manpower Projection'!I178*'Manpower Projection'!J178,0)</f>
        <v>0</v>
      </c>
      <c r="L178" s="96" cm="1">
        <f t="array" ref="L178">'Manpower Projection'!$L$16</f>
        <v>51.69</v>
      </c>
      <c r="M178" s="96">
        <f>'Manpower Projection'!$M$16</f>
        <v>83.549310344827575</v>
      </c>
      <c r="N178" s="96">
        <f>IFERROR('Manpower Projection'!H178*'Manpower Projection'!L178,"")</f>
        <v>0</v>
      </c>
      <c r="O178" s="96">
        <f>IFERROR('Manpower Projection'!M178*'Manpower Projection'!H178,"")</f>
        <v>0</v>
      </c>
    </row>
    <row r="179" spans="6:15" ht="15" customHeight="1">
      <c r="F179" s="94"/>
      <c r="G179" s="95"/>
      <c r="H179" s="95"/>
      <c r="I179" s="95"/>
      <c r="J179" s="95"/>
      <c r="K179" s="95">
        <f>IFERROR('Manpower Projection'!H179*'Manpower Projection'!I179*'Manpower Projection'!J179,0)</f>
        <v>0</v>
      </c>
      <c r="L179" s="96" cm="1">
        <f t="array" ref="L179">'Manpower Projection'!$L$16</f>
        <v>51.69</v>
      </c>
      <c r="M179" s="96">
        <f>'Manpower Projection'!$M$16</f>
        <v>83.549310344827575</v>
      </c>
      <c r="N179" s="96">
        <f>IFERROR('Manpower Projection'!H179*'Manpower Projection'!L179,"")</f>
        <v>0</v>
      </c>
      <c r="O179" s="96">
        <f>IFERROR('Manpower Projection'!M179*'Manpower Projection'!H179,"")</f>
        <v>0</v>
      </c>
    </row>
    <row r="180" spans="6:15" ht="15" customHeight="1">
      <c r="F180" s="94"/>
      <c r="G180" s="95"/>
      <c r="H180" s="95"/>
      <c r="I180" s="95"/>
      <c r="J180" s="95"/>
      <c r="K180" s="95">
        <f>IFERROR('Manpower Projection'!H180*'Manpower Projection'!I180*'Manpower Projection'!J180,0)</f>
        <v>0</v>
      </c>
      <c r="L180" s="96" cm="1">
        <f t="array" ref="L180">'Manpower Projection'!$L$16</f>
        <v>51.69</v>
      </c>
      <c r="M180" s="96">
        <f>'Manpower Projection'!$M$16</f>
        <v>83.549310344827575</v>
      </c>
      <c r="N180" s="96">
        <f>IFERROR('Manpower Projection'!H180*'Manpower Projection'!L180,"")</f>
        <v>0</v>
      </c>
      <c r="O180" s="96">
        <f>IFERROR('Manpower Projection'!M180*'Manpower Projection'!H180,"")</f>
        <v>0</v>
      </c>
    </row>
    <row r="181" spans="6:15" ht="15" customHeight="1">
      <c r="F181" s="94"/>
      <c r="G181" s="95"/>
      <c r="H181" s="95"/>
      <c r="I181" s="95"/>
      <c r="J181" s="95"/>
      <c r="K181" s="95">
        <f>IFERROR('Manpower Projection'!H181*'Manpower Projection'!I181*'Manpower Projection'!J181,0)</f>
        <v>0</v>
      </c>
      <c r="L181" s="96" cm="1">
        <f t="array" ref="L181">'Manpower Projection'!$L$16</f>
        <v>51.69</v>
      </c>
      <c r="M181" s="96">
        <f>'Manpower Projection'!$M$16</f>
        <v>83.549310344827575</v>
      </c>
      <c r="N181" s="96">
        <f>IFERROR('Manpower Projection'!H181*'Manpower Projection'!L181,"")</f>
        <v>0</v>
      </c>
      <c r="O181" s="96">
        <f>IFERROR('Manpower Projection'!M181*'Manpower Projection'!H181,"")</f>
        <v>0</v>
      </c>
    </row>
    <row r="182" spans="6:15" ht="15" customHeight="1">
      <c r="F182" s="94"/>
      <c r="G182" s="95"/>
      <c r="H182" s="95"/>
      <c r="I182" s="95"/>
      <c r="J182" s="95"/>
      <c r="K182" s="95">
        <f>IFERROR('Manpower Projection'!H182*'Manpower Projection'!I182*'Manpower Projection'!J182,0)</f>
        <v>0</v>
      </c>
      <c r="L182" s="96" cm="1">
        <f t="array" ref="L182">'Manpower Projection'!$L$16</f>
        <v>51.69</v>
      </c>
      <c r="M182" s="96">
        <f>'Manpower Projection'!$M$16</f>
        <v>83.549310344827575</v>
      </c>
      <c r="N182" s="96">
        <f>IFERROR('Manpower Projection'!H182*'Manpower Projection'!L182,"")</f>
        <v>0</v>
      </c>
      <c r="O182" s="96">
        <f>IFERROR('Manpower Projection'!M182*'Manpower Projection'!H182,"")</f>
        <v>0</v>
      </c>
    </row>
    <row r="183" spans="6:15" ht="15" customHeight="1">
      <c r="F183" s="94"/>
      <c r="G183" s="95"/>
      <c r="H183" s="95"/>
      <c r="I183" s="95"/>
      <c r="J183" s="95"/>
      <c r="K183" s="95">
        <f>IFERROR('Manpower Projection'!H183*'Manpower Projection'!I183*'Manpower Projection'!J183,0)</f>
        <v>0</v>
      </c>
      <c r="L183" s="96" cm="1">
        <f t="array" ref="L183">'Manpower Projection'!$L$16</f>
        <v>51.69</v>
      </c>
      <c r="M183" s="96">
        <f>'Manpower Projection'!$M$16</f>
        <v>83.549310344827575</v>
      </c>
      <c r="N183" s="96">
        <f>IFERROR('Manpower Projection'!H183*'Manpower Projection'!L183,"")</f>
        <v>0</v>
      </c>
      <c r="O183" s="96">
        <f>IFERROR('Manpower Projection'!M183*'Manpower Projection'!H183,"")</f>
        <v>0</v>
      </c>
    </row>
    <row r="184" spans="6:15" ht="15" customHeight="1">
      <c r="F184" s="94"/>
      <c r="G184" s="95"/>
      <c r="H184" s="95"/>
      <c r="I184" s="95"/>
      <c r="J184" s="95"/>
      <c r="K184" s="95">
        <f>IFERROR('Manpower Projection'!H184*'Manpower Projection'!I184*'Manpower Projection'!J184,0)</f>
        <v>0</v>
      </c>
      <c r="L184" s="96" cm="1">
        <f t="array" ref="L184">'Manpower Projection'!$L$16</f>
        <v>51.69</v>
      </c>
      <c r="M184" s="96">
        <f>'Manpower Projection'!$M$16</f>
        <v>83.549310344827575</v>
      </c>
      <c r="N184" s="96">
        <f>IFERROR('Manpower Projection'!H184*'Manpower Projection'!L184,"")</f>
        <v>0</v>
      </c>
      <c r="O184" s="96">
        <f>IFERROR('Manpower Projection'!M184*'Manpower Projection'!H184,"")</f>
        <v>0</v>
      </c>
    </row>
    <row r="185" spans="6:15" ht="15" customHeight="1">
      <c r="F185" s="94"/>
      <c r="G185" s="95"/>
      <c r="H185" s="95"/>
      <c r="I185" s="95"/>
      <c r="J185" s="95"/>
      <c r="K185" s="95">
        <f>IFERROR('Manpower Projection'!H185*'Manpower Projection'!I185*'Manpower Projection'!J185,0)</f>
        <v>0</v>
      </c>
      <c r="L185" s="96" cm="1">
        <f t="array" ref="L185">'Manpower Projection'!$L$16</f>
        <v>51.69</v>
      </c>
      <c r="M185" s="96">
        <f>'Manpower Projection'!$M$16</f>
        <v>83.549310344827575</v>
      </c>
      <c r="N185" s="96">
        <f>IFERROR('Manpower Projection'!H185*'Manpower Projection'!L185,"")</f>
        <v>0</v>
      </c>
      <c r="O185" s="96">
        <f>IFERROR('Manpower Projection'!M185*'Manpower Projection'!H185,"")</f>
        <v>0</v>
      </c>
    </row>
    <row r="186" spans="6:15" ht="15" customHeight="1">
      <c r="F186" s="94"/>
      <c r="G186" s="95"/>
      <c r="H186" s="95"/>
      <c r="I186" s="95"/>
      <c r="J186" s="95"/>
      <c r="K186" s="95">
        <f>IFERROR('Manpower Projection'!H186*'Manpower Projection'!I186*'Manpower Projection'!J186,0)</f>
        <v>0</v>
      </c>
      <c r="L186" s="96" cm="1">
        <f t="array" ref="L186">'Manpower Projection'!$L$16</f>
        <v>51.69</v>
      </c>
      <c r="M186" s="96">
        <f>'Manpower Projection'!$M$16</f>
        <v>83.549310344827575</v>
      </c>
      <c r="N186" s="96">
        <f>IFERROR('Manpower Projection'!H186*'Manpower Projection'!L186,"")</f>
        <v>0</v>
      </c>
      <c r="O186" s="96">
        <f>IFERROR('Manpower Projection'!M186*'Manpower Projection'!H186,"")</f>
        <v>0</v>
      </c>
    </row>
    <row r="187" spans="6:15" ht="15" customHeight="1">
      <c r="F187" s="94"/>
      <c r="G187" s="95"/>
      <c r="H187" s="95"/>
      <c r="I187" s="95"/>
      <c r="J187" s="95"/>
      <c r="K187" s="95">
        <f>IFERROR('Manpower Projection'!H187*'Manpower Projection'!I187*'Manpower Projection'!J187,0)</f>
        <v>0</v>
      </c>
      <c r="L187" s="96" cm="1">
        <f t="array" ref="L187">'Manpower Projection'!$L$16</f>
        <v>51.69</v>
      </c>
      <c r="M187" s="96">
        <f>'Manpower Projection'!$M$16</f>
        <v>83.549310344827575</v>
      </c>
      <c r="N187" s="96">
        <f>IFERROR('Manpower Projection'!H187*'Manpower Projection'!L187,"")</f>
        <v>0</v>
      </c>
      <c r="O187" s="96">
        <f>IFERROR('Manpower Projection'!M187*'Manpower Projection'!H187,"")</f>
        <v>0</v>
      </c>
    </row>
    <row r="188" spans="6:15" ht="15" customHeight="1">
      <c r="F188" s="94"/>
      <c r="G188" s="95"/>
      <c r="H188" s="95"/>
      <c r="I188" s="95"/>
      <c r="J188" s="95"/>
      <c r="K188" s="95">
        <f>IFERROR('Manpower Projection'!H188*'Manpower Projection'!I188*'Manpower Projection'!J188,0)</f>
        <v>0</v>
      </c>
      <c r="L188" s="96" cm="1">
        <f t="array" ref="L188">'Manpower Projection'!$L$16</f>
        <v>51.69</v>
      </c>
      <c r="M188" s="96">
        <f>'Manpower Projection'!$M$16</f>
        <v>83.549310344827575</v>
      </c>
      <c r="N188" s="96">
        <f>IFERROR('Manpower Projection'!H188*'Manpower Projection'!L188,"")</f>
        <v>0</v>
      </c>
      <c r="O188" s="96">
        <f>IFERROR('Manpower Projection'!M188*'Manpower Projection'!H188,"")</f>
        <v>0</v>
      </c>
    </row>
    <row r="189" spans="6:15" ht="15" customHeight="1">
      <c r="F189" s="94"/>
      <c r="G189" s="95"/>
      <c r="H189" s="95"/>
      <c r="I189" s="95"/>
      <c r="J189" s="95"/>
      <c r="K189" s="95">
        <f>IFERROR('Manpower Projection'!H189*'Manpower Projection'!I189*'Manpower Projection'!J189,0)</f>
        <v>0</v>
      </c>
      <c r="L189" s="96" cm="1">
        <f t="array" ref="L189">'Manpower Projection'!$L$16</f>
        <v>51.69</v>
      </c>
      <c r="M189" s="96">
        <f>'Manpower Projection'!$M$16</f>
        <v>83.549310344827575</v>
      </c>
      <c r="N189" s="96">
        <f>IFERROR('Manpower Projection'!H189*'Manpower Projection'!L189,"")</f>
        <v>0</v>
      </c>
      <c r="O189" s="96">
        <f>IFERROR('Manpower Projection'!M189*'Manpower Projection'!H189,"")</f>
        <v>0</v>
      </c>
    </row>
    <row r="190" spans="6:15" ht="15" customHeight="1">
      <c r="F190" s="94"/>
      <c r="G190" s="95"/>
      <c r="H190" s="95"/>
      <c r="I190" s="95"/>
      <c r="J190" s="95"/>
      <c r="K190" s="95">
        <f>IFERROR('Manpower Projection'!H190*'Manpower Projection'!I190*'Manpower Projection'!J190,0)</f>
        <v>0</v>
      </c>
      <c r="L190" s="96" cm="1">
        <f t="array" ref="L190">'Manpower Projection'!$L$16</f>
        <v>51.69</v>
      </c>
      <c r="M190" s="96">
        <f>'Manpower Projection'!$M$16</f>
        <v>83.549310344827575</v>
      </c>
      <c r="N190" s="96">
        <f>IFERROR('Manpower Projection'!H190*'Manpower Projection'!L190,"")</f>
        <v>0</v>
      </c>
      <c r="O190" s="96">
        <f>IFERROR('Manpower Projection'!M190*'Manpower Projection'!H190,"")</f>
        <v>0</v>
      </c>
    </row>
    <row r="191" spans="6:15" ht="15" customHeight="1">
      <c r="F191" s="94"/>
      <c r="G191" s="95"/>
      <c r="H191" s="95"/>
      <c r="I191" s="95"/>
      <c r="J191" s="95"/>
      <c r="K191" s="95">
        <f>IFERROR('Manpower Projection'!H191*'Manpower Projection'!I191*'Manpower Projection'!J191,0)</f>
        <v>0</v>
      </c>
      <c r="L191" s="96" cm="1">
        <f t="array" ref="L191">'Manpower Projection'!$L$16</f>
        <v>51.69</v>
      </c>
      <c r="M191" s="96">
        <f>'Manpower Projection'!$M$16</f>
        <v>83.549310344827575</v>
      </c>
      <c r="N191" s="96">
        <f>IFERROR('Manpower Projection'!H191*'Manpower Projection'!L191,"")</f>
        <v>0</v>
      </c>
      <c r="O191" s="96">
        <f>IFERROR('Manpower Projection'!M191*'Manpower Projection'!H191,"")</f>
        <v>0</v>
      </c>
    </row>
    <row r="192" spans="6:15" ht="15" customHeight="1">
      <c r="F192" s="94"/>
      <c r="G192" s="95"/>
      <c r="H192" s="95"/>
      <c r="I192" s="95"/>
      <c r="J192" s="95"/>
      <c r="K192" s="95">
        <f>IFERROR('Manpower Projection'!H192*'Manpower Projection'!I192*'Manpower Projection'!J192,0)</f>
        <v>0</v>
      </c>
      <c r="L192" s="96" cm="1">
        <f t="array" ref="L192">'Manpower Projection'!$L$16</f>
        <v>51.69</v>
      </c>
      <c r="M192" s="96">
        <f>'Manpower Projection'!$M$16</f>
        <v>83.549310344827575</v>
      </c>
      <c r="N192" s="96">
        <f>IFERROR('Manpower Projection'!H192*'Manpower Projection'!L192,"")</f>
        <v>0</v>
      </c>
      <c r="O192" s="96">
        <f>IFERROR('Manpower Projection'!M192*'Manpower Projection'!H192,"")</f>
        <v>0</v>
      </c>
    </row>
    <row r="193" spans="6:15" ht="15" customHeight="1">
      <c r="F193" s="94"/>
      <c r="G193" s="95"/>
      <c r="H193" s="95"/>
      <c r="I193" s="95"/>
      <c r="J193" s="95"/>
      <c r="K193" s="95">
        <f>IFERROR('Manpower Projection'!H193*'Manpower Projection'!I193*'Manpower Projection'!J193,0)</f>
        <v>0</v>
      </c>
      <c r="L193" s="96" cm="1">
        <f t="array" ref="L193">'Manpower Projection'!$L$16</f>
        <v>51.69</v>
      </c>
      <c r="M193" s="96">
        <f>'Manpower Projection'!$M$16</f>
        <v>83.549310344827575</v>
      </c>
      <c r="N193" s="96">
        <f>IFERROR('Manpower Projection'!H193*'Manpower Projection'!L193,"")</f>
        <v>0</v>
      </c>
      <c r="O193" s="96">
        <f>IFERROR('Manpower Projection'!M193*'Manpower Projection'!H193,"")</f>
        <v>0</v>
      </c>
    </row>
    <row r="194" spans="6:15" ht="15" customHeight="1">
      <c r="F194" s="94"/>
      <c r="G194" s="95"/>
      <c r="H194" s="95"/>
      <c r="I194" s="95"/>
      <c r="J194" s="95"/>
      <c r="K194" s="95">
        <f>IFERROR('Manpower Projection'!H194*'Manpower Projection'!I194*'Manpower Projection'!J194,0)</f>
        <v>0</v>
      </c>
      <c r="L194" s="96" cm="1">
        <f t="array" ref="L194">'Manpower Projection'!$L$16</f>
        <v>51.69</v>
      </c>
      <c r="M194" s="96">
        <f>'Manpower Projection'!$M$16</f>
        <v>83.549310344827575</v>
      </c>
      <c r="N194" s="96">
        <f>IFERROR('Manpower Projection'!H194*'Manpower Projection'!L194,"")</f>
        <v>0</v>
      </c>
      <c r="O194" s="96">
        <f>IFERROR('Manpower Projection'!M194*'Manpower Projection'!H194,"")</f>
        <v>0</v>
      </c>
    </row>
    <row r="195" spans="6:15" ht="15" customHeight="1">
      <c r="F195" s="94"/>
      <c r="G195" s="95"/>
      <c r="H195" s="95"/>
      <c r="I195" s="95"/>
      <c r="J195" s="95"/>
      <c r="K195" s="95">
        <f>IFERROR('Manpower Projection'!H195*'Manpower Projection'!I195*'Manpower Projection'!J195,0)</f>
        <v>0</v>
      </c>
      <c r="L195" s="96" cm="1">
        <f t="array" ref="L195">'Manpower Projection'!$L$16</f>
        <v>51.69</v>
      </c>
      <c r="M195" s="96">
        <f>'Manpower Projection'!$M$16</f>
        <v>83.549310344827575</v>
      </c>
      <c r="N195" s="96">
        <f>IFERROR('Manpower Projection'!H195*'Manpower Projection'!L195,"")</f>
        <v>0</v>
      </c>
      <c r="O195" s="96">
        <f>IFERROR('Manpower Projection'!M195*'Manpower Projection'!H195,"")</f>
        <v>0</v>
      </c>
    </row>
    <row r="196" spans="6:15" ht="15" customHeight="1">
      <c r="F196" s="94"/>
      <c r="G196" s="95"/>
      <c r="H196" s="95"/>
      <c r="I196" s="95"/>
      <c r="J196" s="95"/>
      <c r="K196" s="95">
        <f>IFERROR('Manpower Projection'!H196*'Manpower Projection'!I196*'Manpower Projection'!J196,0)</f>
        <v>0</v>
      </c>
      <c r="L196" s="96" cm="1">
        <f t="array" ref="L196">'Manpower Projection'!$L$16</f>
        <v>51.69</v>
      </c>
      <c r="M196" s="96">
        <f>'Manpower Projection'!$M$16</f>
        <v>83.549310344827575</v>
      </c>
      <c r="N196" s="96">
        <f>IFERROR('Manpower Projection'!H196*'Manpower Projection'!L196,"")</f>
        <v>0</v>
      </c>
      <c r="O196" s="96">
        <f>IFERROR('Manpower Projection'!M196*'Manpower Projection'!H196,"")</f>
        <v>0</v>
      </c>
    </row>
    <row r="197" spans="6:15" ht="15" customHeight="1">
      <c r="F197" s="94"/>
      <c r="G197" s="95"/>
      <c r="H197" s="95"/>
      <c r="I197" s="95"/>
      <c r="J197" s="95"/>
      <c r="K197" s="95">
        <f>IFERROR('Manpower Projection'!H197*'Manpower Projection'!I197*'Manpower Projection'!J197,0)</f>
        <v>0</v>
      </c>
      <c r="L197" s="96" cm="1">
        <f t="array" ref="L197">'Manpower Projection'!$L$16</f>
        <v>51.69</v>
      </c>
      <c r="M197" s="96">
        <f>'Manpower Projection'!$M$16</f>
        <v>83.549310344827575</v>
      </c>
      <c r="N197" s="96">
        <f>IFERROR('Manpower Projection'!H197*'Manpower Projection'!L197,"")</f>
        <v>0</v>
      </c>
      <c r="O197" s="96">
        <f>IFERROR('Manpower Projection'!M197*'Manpower Projection'!H197,"")</f>
        <v>0</v>
      </c>
    </row>
    <row r="198" spans="6:15" ht="15" customHeight="1">
      <c r="F198" s="94"/>
      <c r="G198" s="95"/>
      <c r="H198" s="95"/>
      <c r="I198" s="95"/>
      <c r="J198" s="95"/>
      <c r="K198" s="95">
        <f>IFERROR('Manpower Projection'!H198*'Manpower Projection'!I198*'Manpower Projection'!J198,0)</f>
        <v>0</v>
      </c>
      <c r="L198" s="96" cm="1">
        <f t="array" ref="L198">'Manpower Projection'!$L$16</f>
        <v>51.69</v>
      </c>
      <c r="M198" s="96">
        <f>'Manpower Projection'!$M$16</f>
        <v>83.549310344827575</v>
      </c>
      <c r="N198" s="96">
        <f>IFERROR('Manpower Projection'!H198*'Manpower Projection'!L198,"")</f>
        <v>0</v>
      </c>
      <c r="O198" s="96">
        <f>IFERROR('Manpower Projection'!M198*'Manpower Projection'!H198,"")</f>
        <v>0</v>
      </c>
    </row>
    <row r="199" spans="6:15" ht="15" customHeight="1">
      <c r="F199" s="94"/>
      <c r="G199" s="95"/>
      <c r="H199" s="95"/>
      <c r="I199" s="95"/>
      <c r="J199" s="95"/>
      <c r="K199" s="95">
        <f>IFERROR('Manpower Projection'!H199*'Manpower Projection'!I199*'Manpower Projection'!J199,0)</f>
        <v>0</v>
      </c>
      <c r="L199" s="96" cm="1">
        <f t="array" ref="L199">'Manpower Projection'!$L$16</f>
        <v>51.69</v>
      </c>
      <c r="M199" s="96">
        <f>'Manpower Projection'!$M$16</f>
        <v>83.549310344827575</v>
      </c>
      <c r="N199" s="96">
        <f>IFERROR('Manpower Projection'!H199*'Manpower Projection'!L199,"")</f>
        <v>0</v>
      </c>
      <c r="O199" s="96">
        <f>IFERROR('Manpower Projection'!M199*'Manpower Projection'!H199,"")</f>
        <v>0</v>
      </c>
    </row>
    <row r="200" spans="6:15" ht="15" customHeight="1">
      <c r="F200" s="94"/>
      <c r="G200" s="95"/>
      <c r="H200" s="95"/>
      <c r="I200" s="95"/>
      <c r="J200" s="95"/>
      <c r="K200" s="95">
        <f>IFERROR('Manpower Projection'!H200*'Manpower Projection'!I200*'Manpower Projection'!J200,0)</f>
        <v>0</v>
      </c>
      <c r="L200" s="96" cm="1">
        <f t="array" ref="L200">'Manpower Projection'!$L$16</f>
        <v>51.69</v>
      </c>
      <c r="M200" s="96">
        <f>'Manpower Projection'!$M$16</f>
        <v>83.549310344827575</v>
      </c>
      <c r="N200" s="96">
        <f>IFERROR('Manpower Projection'!H200*'Manpower Projection'!L200,"")</f>
        <v>0</v>
      </c>
      <c r="O200" s="96">
        <f>IFERROR('Manpower Projection'!M200*'Manpower Projection'!H200,"")</f>
        <v>0</v>
      </c>
    </row>
    <row r="201" spans="6:15" ht="15" customHeight="1">
      <c r="F201" s="94"/>
      <c r="G201" s="95"/>
      <c r="H201" s="95"/>
      <c r="I201" s="95"/>
      <c r="J201" s="95"/>
      <c r="K201" s="95">
        <f>IFERROR('Manpower Projection'!H201*'Manpower Projection'!I201*'Manpower Projection'!J201,0)</f>
        <v>0</v>
      </c>
      <c r="L201" s="96" cm="1">
        <f t="array" ref="L201">'Manpower Projection'!$L$16</f>
        <v>51.69</v>
      </c>
      <c r="M201" s="96">
        <f>'Manpower Projection'!$M$16</f>
        <v>83.549310344827575</v>
      </c>
      <c r="N201" s="96">
        <f>IFERROR('Manpower Projection'!H201*'Manpower Projection'!L201,"")</f>
        <v>0</v>
      </c>
      <c r="O201" s="96">
        <f>IFERROR('Manpower Projection'!M201*'Manpower Projection'!H201,"")</f>
        <v>0</v>
      </c>
    </row>
    <row r="202" spans="6:15" ht="15" customHeight="1">
      <c r="F202" s="94"/>
      <c r="G202" s="95"/>
      <c r="H202" s="95"/>
      <c r="I202" s="95"/>
      <c r="J202" s="95"/>
      <c r="K202" s="95">
        <f>IFERROR('Manpower Projection'!H202*'Manpower Projection'!I202*'Manpower Projection'!J202,0)</f>
        <v>0</v>
      </c>
      <c r="L202" s="96" cm="1">
        <f t="array" ref="L202">'Manpower Projection'!$L$16</f>
        <v>51.69</v>
      </c>
      <c r="M202" s="96">
        <f>'Manpower Projection'!$M$16</f>
        <v>83.549310344827575</v>
      </c>
      <c r="N202" s="96">
        <f>IFERROR('Manpower Projection'!H202*'Manpower Projection'!L202,"")</f>
        <v>0</v>
      </c>
      <c r="O202" s="96">
        <f>IFERROR('Manpower Projection'!M202*'Manpower Projection'!H202,"")</f>
        <v>0</v>
      </c>
    </row>
    <row r="203" spans="6:15" ht="15" customHeight="1">
      <c r="F203" s="94"/>
      <c r="G203" s="95"/>
      <c r="H203" s="95"/>
      <c r="I203" s="95"/>
      <c r="J203" s="95"/>
      <c r="K203" s="95">
        <f>IFERROR('Manpower Projection'!H203*'Manpower Projection'!I203*'Manpower Projection'!J203,0)</f>
        <v>0</v>
      </c>
      <c r="L203" s="96" cm="1">
        <f t="array" ref="L203">'Manpower Projection'!$L$16</f>
        <v>51.69</v>
      </c>
      <c r="M203" s="96">
        <f>'Manpower Projection'!$M$16</f>
        <v>83.549310344827575</v>
      </c>
      <c r="N203" s="96">
        <f>IFERROR('Manpower Projection'!H203*'Manpower Projection'!L203,"")</f>
        <v>0</v>
      </c>
      <c r="O203" s="96">
        <f>IFERROR('Manpower Projection'!M203*'Manpower Projection'!H203,"")</f>
        <v>0</v>
      </c>
    </row>
    <row r="204" spans="6:15" ht="15" customHeight="1">
      <c r="F204" s="94"/>
      <c r="G204" s="95"/>
      <c r="H204" s="95"/>
      <c r="I204" s="95"/>
      <c r="J204" s="95"/>
      <c r="K204" s="95">
        <f>IFERROR('Manpower Projection'!H204*'Manpower Projection'!I204*'Manpower Projection'!J204,0)</f>
        <v>0</v>
      </c>
      <c r="L204" s="96" cm="1">
        <f t="array" ref="L204">'Manpower Projection'!$L$16</f>
        <v>51.69</v>
      </c>
      <c r="M204" s="96">
        <f>'Manpower Projection'!$M$16</f>
        <v>83.549310344827575</v>
      </c>
      <c r="N204" s="96">
        <f>IFERROR('Manpower Projection'!H204*'Manpower Projection'!L204,"")</f>
        <v>0</v>
      </c>
      <c r="O204" s="96">
        <f>IFERROR('Manpower Projection'!M204*'Manpower Projection'!H204,"")</f>
        <v>0</v>
      </c>
    </row>
    <row r="205" spans="6:15" ht="15" customHeight="1">
      <c r="F205" s="94"/>
      <c r="G205" s="95"/>
      <c r="H205" s="95"/>
      <c r="I205" s="95"/>
      <c r="J205" s="95"/>
      <c r="K205" s="95">
        <f>IFERROR('Manpower Projection'!H205*'Manpower Projection'!I205*'Manpower Projection'!J205,0)</f>
        <v>0</v>
      </c>
      <c r="L205" s="96" cm="1">
        <f t="array" ref="L205">'Manpower Projection'!$L$16</f>
        <v>51.69</v>
      </c>
      <c r="M205" s="96">
        <f>'Manpower Projection'!$M$16</f>
        <v>83.549310344827575</v>
      </c>
      <c r="N205" s="96">
        <f>IFERROR('Manpower Projection'!H205*'Manpower Projection'!L205,"")</f>
        <v>0</v>
      </c>
      <c r="O205" s="96">
        <f>IFERROR('Manpower Projection'!M205*'Manpower Projection'!H205,"")</f>
        <v>0</v>
      </c>
    </row>
    <row r="206" spans="6:15" ht="15" customHeight="1">
      <c r="F206" s="94"/>
      <c r="G206" s="95"/>
      <c r="H206" s="95"/>
      <c r="I206" s="95"/>
      <c r="J206" s="95"/>
      <c r="K206" s="95">
        <f>IFERROR('Manpower Projection'!H206*'Manpower Projection'!I206*'Manpower Projection'!J206,0)</f>
        <v>0</v>
      </c>
      <c r="L206" s="96" cm="1">
        <f t="array" ref="L206">'Manpower Projection'!$L$16</f>
        <v>51.69</v>
      </c>
      <c r="M206" s="96">
        <f>'Manpower Projection'!$M$16</f>
        <v>83.549310344827575</v>
      </c>
      <c r="N206" s="96">
        <f>IFERROR('Manpower Projection'!H206*'Manpower Projection'!L206,"")</f>
        <v>0</v>
      </c>
      <c r="O206" s="96">
        <f>IFERROR('Manpower Projection'!M206*'Manpower Projection'!H206,"")</f>
        <v>0</v>
      </c>
    </row>
    <row r="207" spans="6:15" ht="15" customHeight="1">
      <c r="F207" s="94"/>
      <c r="G207" s="95"/>
      <c r="H207" s="95"/>
      <c r="I207" s="95"/>
      <c r="J207" s="95"/>
      <c r="K207" s="95">
        <f>IFERROR('Manpower Projection'!H207*'Manpower Projection'!I207*'Manpower Projection'!J207,0)</f>
        <v>0</v>
      </c>
      <c r="L207" s="96" cm="1">
        <f t="array" ref="L207">'Manpower Projection'!$L$16</f>
        <v>51.69</v>
      </c>
      <c r="M207" s="96">
        <f>'Manpower Projection'!$M$16</f>
        <v>83.549310344827575</v>
      </c>
      <c r="N207" s="96">
        <f>IFERROR('Manpower Projection'!H207*'Manpower Projection'!L207,"")</f>
        <v>0</v>
      </c>
      <c r="O207" s="96">
        <f>IFERROR('Manpower Projection'!M207*'Manpower Projection'!H207,"")</f>
        <v>0</v>
      </c>
    </row>
    <row r="208" spans="6:15" ht="15" customHeight="1">
      <c r="F208" s="94"/>
      <c r="G208" s="95"/>
      <c r="H208" s="95"/>
      <c r="I208" s="95"/>
      <c r="J208" s="95"/>
      <c r="K208" s="95">
        <f>IFERROR('Manpower Projection'!H208*'Manpower Projection'!I208*'Manpower Projection'!J208,0)</f>
        <v>0</v>
      </c>
      <c r="L208" s="96" cm="1">
        <f t="array" ref="L208">'Manpower Projection'!$L$16</f>
        <v>51.69</v>
      </c>
      <c r="M208" s="96">
        <f>'Manpower Projection'!$M$16</f>
        <v>83.549310344827575</v>
      </c>
      <c r="N208" s="96">
        <f>IFERROR('Manpower Projection'!H208*'Manpower Projection'!L208,"")</f>
        <v>0</v>
      </c>
      <c r="O208" s="96">
        <f>IFERROR('Manpower Projection'!M208*'Manpower Projection'!H208,"")</f>
        <v>0</v>
      </c>
    </row>
    <row r="209" spans="6:15" ht="15" customHeight="1">
      <c r="F209" s="94"/>
      <c r="G209" s="95"/>
      <c r="H209" s="95"/>
      <c r="I209" s="95"/>
      <c r="J209" s="95"/>
      <c r="K209" s="95">
        <f>IFERROR('Manpower Projection'!H209*'Manpower Projection'!I209*'Manpower Projection'!J209,0)</f>
        <v>0</v>
      </c>
      <c r="L209" s="96" cm="1">
        <f t="array" ref="L209">'Manpower Projection'!$L$16</f>
        <v>51.69</v>
      </c>
      <c r="M209" s="96">
        <f>'Manpower Projection'!$M$16</f>
        <v>83.549310344827575</v>
      </c>
      <c r="N209" s="96">
        <f>IFERROR('Manpower Projection'!H209*'Manpower Projection'!L209,"")</f>
        <v>0</v>
      </c>
      <c r="O209" s="96">
        <f>IFERROR('Manpower Projection'!M209*'Manpower Projection'!H209,"")</f>
        <v>0</v>
      </c>
    </row>
    <row r="210" spans="6:15" ht="15" customHeight="1">
      <c r="F210" s="94"/>
      <c r="G210" s="95"/>
      <c r="H210" s="95"/>
      <c r="I210" s="95"/>
      <c r="J210" s="95"/>
      <c r="K210" s="95">
        <f>IFERROR('Manpower Projection'!H210*'Manpower Projection'!I210*'Manpower Projection'!J210,0)</f>
        <v>0</v>
      </c>
      <c r="L210" s="96" cm="1">
        <f t="array" ref="L210">'Manpower Projection'!$L$16</f>
        <v>51.69</v>
      </c>
      <c r="M210" s="96">
        <f>'Manpower Projection'!$M$16</f>
        <v>83.549310344827575</v>
      </c>
      <c r="N210" s="96">
        <f>IFERROR('Manpower Projection'!H210*'Manpower Projection'!L210,"")</f>
        <v>0</v>
      </c>
      <c r="O210" s="96">
        <f>IFERROR('Manpower Projection'!M210*'Manpower Projection'!H210,"")</f>
        <v>0</v>
      </c>
    </row>
    <row r="211" spans="6:15" ht="15" customHeight="1">
      <c r="F211" s="94"/>
      <c r="G211" s="95"/>
      <c r="H211" s="95"/>
      <c r="I211" s="95"/>
      <c r="J211" s="95"/>
      <c r="K211" s="95">
        <f>IFERROR('Manpower Projection'!H211*'Manpower Projection'!I211*'Manpower Projection'!J211,0)</f>
        <v>0</v>
      </c>
      <c r="L211" s="96" cm="1">
        <f t="array" ref="L211">'Manpower Projection'!$L$16</f>
        <v>51.69</v>
      </c>
      <c r="M211" s="96">
        <f>'Manpower Projection'!$M$16</f>
        <v>83.549310344827575</v>
      </c>
      <c r="N211" s="96">
        <f>IFERROR('Manpower Projection'!H211*'Manpower Projection'!L211,"")</f>
        <v>0</v>
      </c>
      <c r="O211" s="96">
        <f>IFERROR('Manpower Projection'!M211*'Manpower Projection'!H211,"")</f>
        <v>0</v>
      </c>
    </row>
    <row r="212" spans="6:15" ht="15" customHeight="1">
      <c r="F212" s="94"/>
      <c r="G212" s="95"/>
      <c r="H212" s="95"/>
      <c r="I212" s="95"/>
      <c r="J212" s="95"/>
      <c r="K212" s="95">
        <f>IFERROR('Manpower Projection'!H212*'Manpower Projection'!I212*'Manpower Projection'!J212,0)</f>
        <v>0</v>
      </c>
      <c r="L212" s="96" cm="1">
        <f t="array" ref="L212">'Manpower Projection'!$L$16</f>
        <v>51.69</v>
      </c>
      <c r="M212" s="96">
        <f>'Manpower Projection'!$M$16</f>
        <v>83.549310344827575</v>
      </c>
      <c r="N212" s="96">
        <f>IFERROR('Manpower Projection'!H212*'Manpower Projection'!L212,"")</f>
        <v>0</v>
      </c>
      <c r="O212" s="96">
        <f>IFERROR('Manpower Projection'!M212*'Manpower Projection'!H212,"")</f>
        <v>0</v>
      </c>
    </row>
    <row r="213" spans="6:15" ht="15" customHeight="1">
      <c r="F213" s="94"/>
      <c r="G213" s="95"/>
      <c r="H213" s="95"/>
      <c r="I213" s="95"/>
      <c r="J213" s="95"/>
      <c r="K213" s="95">
        <f>IFERROR('Manpower Projection'!H213*'Manpower Projection'!I213*'Manpower Projection'!J213,0)</f>
        <v>0</v>
      </c>
      <c r="L213" s="96" cm="1">
        <f t="array" ref="L213">'Manpower Projection'!$L$16</f>
        <v>51.69</v>
      </c>
      <c r="M213" s="96">
        <f>'Manpower Projection'!$M$16</f>
        <v>83.549310344827575</v>
      </c>
      <c r="N213" s="96">
        <f>IFERROR('Manpower Projection'!H213*'Manpower Projection'!L213,"")</f>
        <v>0</v>
      </c>
      <c r="O213" s="96">
        <f>IFERROR('Manpower Projection'!M213*'Manpower Projection'!H213,"")</f>
        <v>0</v>
      </c>
    </row>
    <row r="214" spans="6:15" ht="15" customHeight="1">
      <c r="F214" s="94"/>
      <c r="G214" s="95"/>
      <c r="H214" s="95"/>
      <c r="I214" s="95"/>
      <c r="J214" s="95"/>
      <c r="K214" s="95">
        <f>IFERROR('Manpower Projection'!H214*'Manpower Projection'!I214*'Manpower Projection'!J214,0)</f>
        <v>0</v>
      </c>
      <c r="L214" s="96" cm="1">
        <f t="array" ref="L214">'Manpower Projection'!$L$16</f>
        <v>51.69</v>
      </c>
      <c r="M214" s="96">
        <f>'Manpower Projection'!$M$16</f>
        <v>83.549310344827575</v>
      </c>
      <c r="N214" s="96">
        <f>IFERROR('Manpower Projection'!H214*'Manpower Projection'!L214,"")</f>
        <v>0</v>
      </c>
      <c r="O214" s="96">
        <f>IFERROR('Manpower Projection'!M214*'Manpower Projection'!H214,"")</f>
        <v>0</v>
      </c>
    </row>
    <row r="215" spans="6:15" ht="15" customHeight="1">
      <c r="F215" s="94"/>
      <c r="G215" s="95"/>
      <c r="H215" s="95"/>
      <c r="I215" s="95"/>
      <c r="J215" s="95"/>
      <c r="K215" s="95">
        <f>IFERROR('Manpower Projection'!H215*'Manpower Projection'!I215*'Manpower Projection'!J215,0)</f>
        <v>0</v>
      </c>
      <c r="L215" s="96" cm="1">
        <f t="array" ref="L215">'Manpower Projection'!$L$16</f>
        <v>51.69</v>
      </c>
      <c r="M215" s="96">
        <f>'Manpower Projection'!$M$16</f>
        <v>83.549310344827575</v>
      </c>
      <c r="N215" s="96">
        <f>IFERROR('Manpower Projection'!H215*'Manpower Projection'!L215,"")</f>
        <v>0</v>
      </c>
      <c r="O215" s="96">
        <f>IFERROR('Manpower Projection'!M215*'Manpower Projection'!H215,"")</f>
        <v>0</v>
      </c>
    </row>
    <row r="216" spans="6:15" ht="15" customHeight="1">
      <c r="F216" s="94"/>
      <c r="G216" s="95"/>
      <c r="H216" s="95"/>
      <c r="I216" s="95"/>
      <c r="J216" s="95"/>
      <c r="K216" s="95">
        <f>IFERROR('Manpower Projection'!H216*'Manpower Projection'!I216*'Manpower Projection'!J216,0)</f>
        <v>0</v>
      </c>
      <c r="L216" s="96" cm="1">
        <f t="array" ref="L216">'Manpower Projection'!$L$16</f>
        <v>51.69</v>
      </c>
      <c r="M216" s="96">
        <f>'Manpower Projection'!$M$16</f>
        <v>83.549310344827575</v>
      </c>
      <c r="N216" s="96">
        <f>IFERROR('Manpower Projection'!H216*'Manpower Projection'!L216,"")</f>
        <v>0</v>
      </c>
      <c r="O216" s="96">
        <f>IFERROR('Manpower Projection'!M216*'Manpower Projection'!H216,"")</f>
        <v>0</v>
      </c>
    </row>
    <row r="217" spans="6:15" ht="15" customHeight="1">
      <c r="F217" s="94"/>
      <c r="G217" s="95"/>
      <c r="H217" s="95"/>
      <c r="I217" s="95"/>
      <c r="J217" s="95"/>
      <c r="K217" s="95">
        <f>IFERROR('Manpower Projection'!H217*'Manpower Projection'!I217*'Manpower Projection'!J217,0)</f>
        <v>0</v>
      </c>
      <c r="L217" s="96" cm="1">
        <f t="array" ref="L217">'Manpower Projection'!$L$16</f>
        <v>51.69</v>
      </c>
      <c r="M217" s="96">
        <f>'Manpower Projection'!$M$16</f>
        <v>83.549310344827575</v>
      </c>
      <c r="N217" s="96">
        <f>IFERROR('Manpower Projection'!H217*'Manpower Projection'!L217,"")</f>
        <v>0</v>
      </c>
      <c r="O217" s="96">
        <f>IFERROR('Manpower Projection'!M217*'Manpower Projection'!H217,"")</f>
        <v>0</v>
      </c>
    </row>
    <row r="218" spans="6:15" ht="15" customHeight="1">
      <c r="F218" s="94"/>
      <c r="G218" s="95"/>
      <c r="H218" s="95"/>
      <c r="I218" s="95"/>
      <c r="J218" s="95"/>
      <c r="K218" s="95">
        <f>IFERROR('Manpower Projection'!H218*'Manpower Projection'!I218*'Manpower Projection'!J218,0)</f>
        <v>0</v>
      </c>
      <c r="L218" s="96" cm="1">
        <f t="array" ref="L218">'Manpower Projection'!$L$16</f>
        <v>51.69</v>
      </c>
      <c r="M218" s="96">
        <f>'Manpower Projection'!$M$16</f>
        <v>83.549310344827575</v>
      </c>
      <c r="N218" s="96">
        <f>IFERROR('Manpower Projection'!H218*'Manpower Projection'!L218,"")</f>
        <v>0</v>
      </c>
      <c r="O218" s="96">
        <f>IFERROR('Manpower Projection'!M218*'Manpower Projection'!H218,"")</f>
        <v>0</v>
      </c>
    </row>
    <row r="219" spans="6:15" ht="15" customHeight="1">
      <c r="F219" s="94"/>
      <c r="G219" s="95"/>
      <c r="H219" s="95"/>
      <c r="I219" s="95"/>
      <c r="J219" s="95"/>
      <c r="K219" s="95">
        <f>IFERROR('Manpower Projection'!H219*'Manpower Projection'!I219*'Manpower Projection'!J219,0)</f>
        <v>0</v>
      </c>
      <c r="L219" s="96" cm="1">
        <f t="array" ref="L219">'Manpower Projection'!$L$16</f>
        <v>51.69</v>
      </c>
      <c r="M219" s="96">
        <f>'Manpower Projection'!$M$16</f>
        <v>83.549310344827575</v>
      </c>
      <c r="N219" s="96">
        <f>IFERROR('Manpower Projection'!H219*'Manpower Projection'!L219,"")</f>
        <v>0</v>
      </c>
      <c r="O219" s="96">
        <f>IFERROR('Manpower Projection'!M219*'Manpower Projection'!H219,"")</f>
        <v>0</v>
      </c>
    </row>
    <row r="220" spans="6:15" ht="15" customHeight="1">
      <c r="F220" s="94"/>
      <c r="G220" s="95"/>
      <c r="H220" s="95"/>
      <c r="I220" s="95"/>
      <c r="J220" s="95"/>
      <c r="K220" s="95">
        <f>IFERROR('Manpower Projection'!H220*'Manpower Projection'!I220*'Manpower Projection'!J220,0)</f>
        <v>0</v>
      </c>
      <c r="L220" s="96" cm="1">
        <f t="array" ref="L220">'Manpower Projection'!$L$16</f>
        <v>51.69</v>
      </c>
      <c r="M220" s="96">
        <f>'Manpower Projection'!$M$16</f>
        <v>83.549310344827575</v>
      </c>
      <c r="N220" s="96">
        <f>IFERROR('Manpower Projection'!H220*'Manpower Projection'!L220,"")</f>
        <v>0</v>
      </c>
      <c r="O220" s="96">
        <f>IFERROR('Manpower Projection'!M220*'Manpower Projection'!H220,"")</f>
        <v>0</v>
      </c>
    </row>
    <row r="221" spans="6:15" ht="15" customHeight="1">
      <c r="F221" s="94"/>
      <c r="G221" s="95"/>
      <c r="H221" s="95"/>
      <c r="I221" s="95"/>
      <c r="J221" s="95"/>
      <c r="K221" s="95">
        <f>IFERROR('Manpower Projection'!H221*'Manpower Projection'!I221*'Manpower Projection'!J221,0)</f>
        <v>0</v>
      </c>
      <c r="L221" s="96" cm="1">
        <f t="array" ref="L221">'Manpower Projection'!$L$16</f>
        <v>51.69</v>
      </c>
      <c r="M221" s="96">
        <f>'Manpower Projection'!$M$16</f>
        <v>83.549310344827575</v>
      </c>
      <c r="N221" s="96">
        <f>IFERROR('Manpower Projection'!H221*'Manpower Projection'!L221,"")</f>
        <v>0</v>
      </c>
      <c r="O221" s="96">
        <f>IFERROR('Manpower Projection'!M221*'Manpower Projection'!H221,"")</f>
        <v>0</v>
      </c>
    </row>
    <row r="222" spans="6:15" ht="15" customHeight="1">
      <c r="F222" s="94"/>
      <c r="G222" s="95"/>
      <c r="H222" s="95"/>
      <c r="I222" s="95"/>
      <c r="J222" s="95"/>
      <c r="K222" s="95">
        <f>IFERROR('Manpower Projection'!H222*'Manpower Projection'!I222*'Manpower Projection'!J222,0)</f>
        <v>0</v>
      </c>
      <c r="L222" s="96" cm="1">
        <f t="array" ref="L222">'Manpower Projection'!$L$16</f>
        <v>51.69</v>
      </c>
      <c r="M222" s="96">
        <f>'Manpower Projection'!$M$16</f>
        <v>83.549310344827575</v>
      </c>
      <c r="N222" s="96">
        <f>IFERROR('Manpower Projection'!H222*'Manpower Projection'!L222,"")</f>
        <v>0</v>
      </c>
      <c r="O222" s="96">
        <f>IFERROR('Manpower Projection'!M222*'Manpower Projection'!H222,"")</f>
        <v>0</v>
      </c>
    </row>
    <row r="223" spans="6:15" ht="15" customHeight="1">
      <c r="F223" s="94"/>
      <c r="G223" s="95"/>
      <c r="H223" s="95"/>
      <c r="I223" s="95"/>
      <c r="J223" s="95"/>
      <c r="K223" s="95">
        <f>IFERROR('Manpower Projection'!H223*'Manpower Projection'!I223*'Manpower Projection'!J223,0)</f>
        <v>0</v>
      </c>
      <c r="L223" s="96" cm="1">
        <f t="array" ref="L223">'Manpower Projection'!$L$16</f>
        <v>51.69</v>
      </c>
      <c r="M223" s="96">
        <f>'Manpower Projection'!$M$16</f>
        <v>83.549310344827575</v>
      </c>
      <c r="N223" s="96">
        <f>IFERROR('Manpower Projection'!H223*'Manpower Projection'!L223,"")</f>
        <v>0</v>
      </c>
      <c r="O223" s="96">
        <f>IFERROR('Manpower Projection'!M223*'Manpower Projection'!H223,"")</f>
        <v>0</v>
      </c>
    </row>
    <row r="224" spans="6:15" ht="15" customHeight="1">
      <c r="F224" s="94"/>
      <c r="G224" s="95"/>
      <c r="H224" s="95"/>
      <c r="I224" s="95"/>
      <c r="J224" s="95"/>
      <c r="K224" s="95">
        <f>IFERROR('Manpower Projection'!H224*'Manpower Projection'!I224*'Manpower Projection'!J224,0)</f>
        <v>0</v>
      </c>
      <c r="L224" s="96" cm="1">
        <f t="array" ref="L224">'Manpower Projection'!$L$16</f>
        <v>51.69</v>
      </c>
      <c r="M224" s="96">
        <f>'Manpower Projection'!$M$16</f>
        <v>83.549310344827575</v>
      </c>
      <c r="N224" s="96">
        <f>IFERROR('Manpower Projection'!H224*'Manpower Projection'!L224,"")</f>
        <v>0</v>
      </c>
      <c r="O224" s="96">
        <f>IFERROR('Manpower Projection'!M224*'Manpower Projection'!H224,"")</f>
        <v>0</v>
      </c>
    </row>
    <row r="225" spans="6:15" ht="15" customHeight="1">
      <c r="F225" s="94"/>
      <c r="G225" s="95"/>
      <c r="H225" s="95"/>
      <c r="I225" s="95"/>
      <c r="J225" s="95"/>
      <c r="K225" s="95">
        <f>IFERROR('Manpower Projection'!H225*'Manpower Projection'!I225*'Manpower Projection'!J225,0)</f>
        <v>0</v>
      </c>
      <c r="L225" s="96" cm="1">
        <f t="array" ref="L225">'Manpower Projection'!$L$16</f>
        <v>51.69</v>
      </c>
      <c r="M225" s="96">
        <f>'Manpower Projection'!$M$16</f>
        <v>83.549310344827575</v>
      </c>
      <c r="N225" s="96">
        <f>IFERROR('Manpower Projection'!H225*'Manpower Projection'!L225,"")</f>
        <v>0</v>
      </c>
      <c r="O225" s="96">
        <f>IFERROR('Manpower Projection'!M225*'Manpower Projection'!H225,"")</f>
        <v>0</v>
      </c>
    </row>
    <row r="226" spans="6:15" ht="15" customHeight="1">
      <c r="F226" s="94"/>
      <c r="G226" s="95"/>
      <c r="H226" s="95"/>
      <c r="I226" s="95"/>
      <c r="J226" s="95"/>
      <c r="K226" s="95">
        <f>IFERROR('Manpower Projection'!H226*'Manpower Projection'!I226*'Manpower Projection'!J226,0)</f>
        <v>0</v>
      </c>
      <c r="L226" s="96" cm="1">
        <f t="array" ref="L226">'Manpower Projection'!$L$16</f>
        <v>51.69</v>
      </c>
      <c r="M226" s="96">
        <f>'Manpower Projection'!$M$16</f>
        <v>83.549310344827575</v>
      </c>
      <c r="N226" s="96">
        <f>IFERROR('Manpower Projection'!H226*'Manpower Projection'!L226,"")</f>
        <v>0</v>
      </c>
      <c r="O226" s="96">
        <f>IFERROR('Manpower Projection'!M226*'Manpower Projection'!H226,"")</f>
        <v>0</v>
      </c>
    </row>
    <row r="227" spans="6:15" ht="15" customHeight="1">
      <c r="F227" s="94"/>
      <c r="G227" s="95"/>
      <c r="H227" s="95"/>
      <c r="I227" s="95"/>
      <c r="J227" s="95"/>
      <c r="K227" s="95">
        <f>IFERROR('Manpower Projection'!H227*'Manpower Projection'!I227*'Manpower Projection'!J227,0)</f>
        <v>0</v>
      </c>
      <c r="L227" s="96" cm="1">
        <f t="array" ref="L227">'Manpower Projection'!$L$16</f>
        <v>51.69</v>
      </c>
      <c r="M227" s="96">
        <f>'Manpower Projection'!$M$16</f>
        <v>83.549310344827575</v>
      </c>
      <c r="N227" s="96">
        <f>IFERROR('Manpower Projection'!H227*'Manpower Projection'!L227,"")</f>
        <v>0</v>
      </c>
      <c r="O227" s="96">
        <f>IFERROR('Manpower Projection'!M227*'Manpower Projection'!H227,"")</f>
        <v>0</v>
      </c>
    </row>
    <row r="228" spans="6:15" ht="15" customHeight="1">
      <c r="F228" s="94"/>
      <c r="G228" s="95"/>
      <c r="H228" s="95"/>
      <c r="I228" s="95"/>
      <c r="J228" s="95"/>
      <c r="K228" s="95">
        <f>IFERROR('Manpower Projection'!H228*'Manpower Projection'!I228*'Manpower Projection'!J228,0)</f>
        <v>0</v>
      </c>
      <c r="L228" s="96" cm="1">
        <f t="array" ref="L228">'Manpower Projection'!$L$16</f>
        <v>51.69</v>
      </c>
      <c r="M228" s="96">
        <f>'Manpower Projection'!$M$16</f>
        <v>83.549310344827575</v>
      </c>
      <c r="N228" s="96">
        <f>IFERROR('Manpower Projection'!H228*'Manpower Projection'!L228,"")</f>
        <v>0</v>
      </c>
      <c r="O228" s="96">
        <f>IFERROR('Manpower Projection'!M228*'Manpower Projection'!H228,"")</f>
        <v>0</v>
      </c>
    </row>
    <row r="229" spans="6:15" ht="15" customHeight="1">
      <c r="F229" s="94"/>
      <c r="G229" s="95"/>
      <c r="H229" s="95"/>
      <c r="I229" s="95"/>
      <c r="J229" s="95"/>
      <c r="K229" s="95">
        <f>IFERROR('Manpower Projection'!H229*'Manpower Projection'!I229*'Manpower Projection'!J229,0)</f>
        <v>0</v>
      </c>
      <c r="L229" s="96" cm="1">
        <f t="array" ref="L229">'Manpower Projection'!$L$16</f>
        <v>51.69</v>
      </c>
      <c r="M229" s="96">
        <f>'Manpower Projection'!$M$16</f>
        <v>83.549310344827575</v>
      </c>
      <c r="N229" s="96">
        <f>IFERROR('Manpower Projection'!H229*'Manpower Projection'!L229,"")</f>
        <v>0</v>
      </c>
      <c r="O229" s="96">
        <f>IFERROR('Manpower Projection'!M229*'Manpower Projection'!H229,"")</f>
        <v>0</v>
      </c>
    </row>
    <row r="230" spans="6:15" ht="15" customHeight="1">
      <c r="F230" s="94"/>
      <c r="G230" s="95"/>
      <c r="H230" s="95"/>
      <c r="I230" s="95"/>
      <c r="J230" s="95"/>
      <c r="K230" s="95">
        <f>IFERROR('Manpower Projection'!H230*'Manpower Projection'!I230*'Manpower Projection'!J230,0)</f>
        <v>0</v>
      </c>
      <c r="L230" s="96" cm="1">
        <f t="array" ref="L230">'Manpower Projection'!$L$16</f>
        <v>51.69</v>
      </c>
      <c r="M230" s="96">
        <f>'Manpower Projection'!$M$16</f>
        <v>83.549310344827575</v>
      </c>
      <c r="N230" s="96">
        <f>IFERROR('Manpower Projection'!H230*'Manpower Projection'!L230,"")</f>
        <v>0</v>
      </c>
      <c r="O230" s="96">
        <f>IFERROR('Manpower Projection'!M230*'Manpower Projection'!H230,"")</f>
        <v>0</v>
      </c>
    </row>
    <row r="231" spans="6:15" ht="15" customHeight="1">
      <c r="F231" s="94"/>
      <c r="G231" s="95"/>
      <c r="H231" s="95"/>
      <c r="I231" s="95"/>
      <c r="J231" s="95"/>
      <c r="K231" s="95">
        <f>IFERROR('Manpower Projection'!H231*'Manpower Projection'!I231*'Manpower Projection'!J231,0)</f>
        <v>0</v>
      </c>
      <c r="L231" s="96" cm="1">
        <f t="array" ref="L231">'Manpower Projection'!$L$16</f>
        <v>51.69</v>
      </c>
      <c r="M231" s="96">
        <f>'Manpower Projection'!$M$16</f>
        <v>83.549310344827575</v>
      </c>
      <c r="N231" s="96">
        <f>IFERROR('Manpower Projection'!H231*'Manpower Projection'!L231,"")</f>
        <v>0</v>
      </c>
      <c r="O231" s="96">
        <f>IFERROR('Manpower Projection'!M231*'Manpower Projection'!H231,"")</f>
        <v>0</v>
      </c>
    </row>
    <row r="232" spans="6:15" ht="15" customHeight="1">
      <c r="F232" s="94"/>
      <c r="G232" s="95"/>
      <c r="H232" s="95"/>
      <c r="I232" s="95"/>
      <c r="J232" s="95"/>
      <c r="K232" s="95">
        <f>IFERROR('Manpower Projection'!H232*'Manpower Projection'!I232*'Manpower Projection'!J232,0)</f>
        <v>0</v>
      </c>
      <c r="L232" s="96" cm="1">
        <f t="array" ref="L232">'Manpower Projection'!$L$16</f>
        <v>51.69</v>
      </c>
      <c r="M232" s="96">
        <f>'Manpower Projection'!$M$16</f>
        <v>83.549310344827575</v>
      </c>
      <c r="N232" s="96">
        <f>IFERROR('Manpower Projection'!H232*'Manpower Projection'!L232,"")</f>
        <v>0</v>
      </c>
      <c r="O232" s="96">
        <f>IFERROR('Manpower Projection'!M232*'Manpower Projection'!H232,"")</f>
        <v>0</v>
      </c>
    </row>
    <row r="233" spans="6:15" ht="15" customHeight="1">
      <c r="F233" s="94"/>
      <c r="G233" s="95"/>
      <c r="H233" s="95"/>
      <c r="I233" s="95"/>
      <c r="J233" s="95"/>
      <c r="K233" s="95">
        <f>IFERROR('Manpower Projection'!H233*'Manpower Projection'!I233*'Manpower Projection'!J233,0)</f>
        <v>0</v>
      </c>
      <c r="L233" s="96" cm="1">
        <f t="array" ref="L233">'Manpower Projection'!$L$16</f>
        <v>51.69</v>
      </c>
      <c r="M233" s="96">
        <f>'Manpower Projection'!$M$16</f>
        <v>83.549310344827575</v>
      </c>
      <c r="N233" s="96">
        <f>IFERROR('Manpower Projection'!H233*'Manpower Projection'!L233,"")</f>
        <v>0</v>
      </c>
      <c r="O233" s="96">
        <f>IFERROR('Manpower Projection'!M233*'Manpower Projection'!H233,"")</f>
        <v>0</v>
      </c>
    </row>
    <row r="234" spans="6:15" ht="15" customHeight="1">
      <c r="F234" s="94"/>
      <c r="G234" s="95"/>
      <c r="H234" s="95"/>
      <c r="I234" s="95"/>
      <c r="J234" s="95"/>
      <c r="K234" s="95">
        <f>IFERROR('Manpower Projection'!H234*'Manpower Projection'!I234*'Manpower Projection'!J234,0)</f>
        <v>0</v>
      </c>
      <c r="L234" s="96" cm="1">
        <f t="array" ref="L234">'Manpower Projection'!$L$16</f>
        <v>51.69</v>
      </c>
      <c r="M234" s="96">
        <f>'Manpower Projection'!$M$16</f>
        <v>83.549310344827575</v>
      </c>
      <c r="N234" s="96">
        <f>IFERROR('Manpower Projection'!H234*'Manpower Projection'!L234,"")</f>
        <v>0</v>
      </c>
      <c r="O234" s="96">
        <f>IFERROR('Manpower Projection'!M234*'Manpower Projection'!H234,"")</f>
        <v>0</v>
      </c>
    </row>
    <row r="235" spans="6:15" ht="15" customHeight="1">
      <c r="F235" s="94"/>
      <c r="G235" s="95"/>
      <c r="H235" s="95"/>
      <c r="I235" s="95"/>
      <c r="J235" s="95"/>
      <c r="K235" s="95">
        <f>IFERROR('Manpower Projection'!H235*'Manpower Projection'!I235*'Manpower Projection'!J235,0)</f>
        <v>0</v>
      </c>
      <c r="L235" s="96" cm="1">
        <f t="array" ref="L235">'Manpower Projection'!$L$16</f>
        <v>51.69</v>
      </c>
      <c r="M235" s="96">
        <f>'Manpower Projection'!$M$16</f>
        <v>83.549310344827575</v>
      </c>
      <c r="N235" s="96">
        <f>IFERROR('Manpower Projection'!H235*'Manpower Projection'!L235,"")</f>
        <v>0</v>
      </c>
      <c r="O235" s="96">
        <f>IFERROR('Manpower Projection'!M235*'Manpower Projection'!H235,"")</f>
        <v>0</v>
      </c>
    </row>
    <row r="236" spans="6:15" ht="15" customHeight="1">
      <c r="F236" s="94"/>
      <c r="G236" s="95"/>
      <c r="H236" s="95"/>
      <c r="I236" s="95"/>
      <c r="J236" s="95"/>
      <c r="K236" s="95">
        <f>IFERROR('Manpower Projection'!H236*'Manpower Projection'!I236*'Manpower Projection'!J236,0)</f>
        <v>0</v>
      </c>
      <c r="L236" s="96" cm="1">
        <f t="array" ref="L236">'Manpower Projection'!$L$16</f>
        <v>51.69</v>
      </c>
      <c r="M236" s="96">
        <f>'Manpower Projection'!$M$16</f>
        <v>83.549310344827575</v>
      </c>
      <c r="N236" s="96">
        <f>IFERROR('Manpower Projection'!H236*'Manpower Projection'!L236,"")</f>
        <v>0</v>
      </c>
      <c r="O236" s="96">
        <f>IFERROR('Manpower Projection'!M236*'Manpower Projection'!H236,"")</f>
        <v>0</v>
      </c>
    </row>
    <row r="237" spans="6:15" ht="15" customHeight="1">
      <c r="F237" s="94"/>
      <c r="G237" s="95"/>
      <c r="H237" s="95"/>
      <c r="I237" s="95"/>
      <c r="J237" s="95"/>
      <c r="K237" s="95">
        <f>IFERROR('Manpower Projection'!H237*'Manpower Projection'!I237*'Manpower Projection'!J237,0)</f>
        <v>0</v>
      </c>
      <c r="L237" s="96" cm="1">
        <f t="array" ref="L237">'Manpower Projection'!$L$16</f>
        <v>51.69</v>
      </c>
      <c r="M237" s="96">
        <f>'Manpower Projection'!$M$16</f>
        <v>83.549310344827575</v>
      </c>
      <c r="N237" s="96">
        <f>IFERROR('Manpower Projection'!H237*'Manpower Projection'!L237,"")</f>
        <v>0</v>
      </c>
      <c r="O237" s="96">
        <f>IFERROR('Manpower Projection'!M237*'Manpower Projection'!H237,"")</f>
        <v>0</v>
      </c>
    </row>
    <row r="238" spans="6:15" ht="15" customHeight="1">
      <c r="F238" s="94"/>
      <c r="G238" s="95"/>
      <c r="H238" s="95"/>
      <c r="I238" s="95"/>
      <c r="J238" s="95"/>
      <c r="K238" s="95">
        <f>IFERROR('Manpower Projection'!H238*'Manpower Projection'!I238*'Manpower Projection'!J238,0)</f>
        <v>0</v>
      </c>
      <c r="L238" s="96" cm="1">
        <f t="array" ref="L238">'Manpower Projection'!$L$16</f>
        <v>51.69</v>
      </c>
      <c r="M238" s="96">
        <f>'Manpower Projection'!$M$16</f>
        <v>83.549310344827575</v>
      </c>
      <c r="N238" s="96">
        <f>IFERROR('Manpower Projection'!H238*'Manpower Projection'!L238,"")</f>
        <v>0</v>
      </c>
      <c r="O238" s="96">
        <f>IFERROR('Manpower Projection'!M238*'Manpower Projection'!H238,"")</f>
        <v>0</v>
      </c>
    </row>
    <row r="239" spans="6:15" ht="15" customHeight="1">
      <c r="F239" s="94"/>
      <c r="G239" s="95"/>
      <c r="H239" s="95"/>
      <c r="I239" s="95"/>
      <c r="J239" s="95"/>
      <c r="K239" s="95">
        <f>IFERROR('Manpower Projection'!H239*'Manpower Projection'!I239*'Manpower Projection'!J239,0)</f>
        <v>0</v>
      </c>
      <c r="L239" s="96" cm="1">
        <f t="array" ref="L239">'Manpower Projection'!$L$16</f>
        <v>51.69</v>
      </c>
      <c r="M239" s="96">
        <f>'Manpower Projection'!$M$16</f>
        <v>83.549310344827575</v>
      </c>
      <c r="N239" s="96">
        <f>IFERROR('Manpower Projection'!H239*'Manpower Projection'!L239,"")</f>
        <v>0</v>
      </c>
      <c r="O239" s="96">
        <f>IFERROR('Manpower Projection'!M239*'Manpower Projection'!H239,"")</f>
        <v>0</v>
      </c>
    </row>
    <row r="240" spans="6:15" ht="15" customHeight="1">
      <c r="F240" s="94"/>
      <c r="G240" s="95"/>
      <c r="H240" s="95"/>
      <c r="I240" s="95"/>
      <c r="J240" s="95"/>
      <c r="K240" s="95">
        <f>IFERROR('Manpower Projection'!H240*'Manpower Projection'!I240*'Manpower Projection'!J240,0)</f>
        <v>0</v>
      </c>
      <c r="L240" s="96" cm="1">
        <f t="array" ref="L240">'Manpower Projection'!$L$16</f>
        <v>51.69</v>
      </c>
      <c r="M240" s="96">
        <f>'Manpower Projection'!$M$16</f>
        <v>83.549310344827575</v>
      </c>
      <c r="N240" s="96">
        <f>IFERROR('Manpower Projection'!H240*'Manpower Projection'!L240,"")</f>
        <v>0</v>
      </c>
      <c r="O240" s="96">
        <f>IFERROR('Manpower Projection'!M240*'Manpower Projection'!H240,"")</f>
        <v>0</v>
      </c>
    </row>
    <row r="241" spans="6:15" ht="15" customHeight="1">
      <c r="F241" s="94"/>
      <c r="G241" s="95"/>
      <c r="H241" s="95"/>
      <c r="I241" s="95"/>
      <c r="J241" s="95"/>
      <c r="K241" s="95">
        <f>IFERROR('Manpower Projection'!H241*'Manpower Projection'!I241*'Manpower Projection'!J241,0)</f>
        <v>0</v>
      </c>
      <c r="L241" s="96" cm="1">
        <f t="array" ref="L241">'Manpower Projection'!$L$16</f>
        <v>51.69</v>
      </c>
      <c r="M241" s="96">
        <f>'Manpower Projection'!$M$16</f>
        <v>83.549310344827575</v>
      </c>
      <c r="N241" s="96">
        <f>IFERROR('Manpower Projection'!H241*'Manpower Projection'!L241,"")</f>
        <v>0</v>
      </c>
      <c r="O241" s="96">
        <f>IFERROR('Manpower Projection'!M241*'Manpower Projection'!H241,"")</f>
        <v>0</v>
      </c>
    </row>
    <row r="242" spans="6:15" ht="15" customHeight="1">
      <c r="F242" s="94"/>
      <c r="G242" s="95"/>
      <c r="H242" s="95"/>
      <c r="I242" s="95"/>
      <c r="J242" s="95"/>
      <c r="K242" s="95">
        <f>IFERROR('Manpower Projection'!H242*'Manpower Projection'!I242*'Manpower Projection'!J242,0)</f>
        <v>0</v>
      </c>
      <c r="L242" s="96" cm="1">
        <f t="array" ref="L242">'Manpower Projection'!$L$16</f>
        <v>51.69</v>
      </c>
      <c r="M242" s="96">
        <f>'Manpower Projection'!$M$16</f>
        <v>83.549310344827575</v>
      </c>
      <c r="N242" s="96">
        <f>IFERROR('Manpower Projection'!H242*'Manpower Projection'!L242,"")</f>
        <v>0</v>
      </c>
      <c r="O242" s="96">
        <f>IFERROR('Manpower Projection'!M242*'Manpower Projection'!H242,"")</f>
        <v>0</v>
      </c>
    </row>
    <row r="243" spans="6:15" ht="15" customHeight="1">
      <c r="F243" s="94"/>
      <c r="G243" s="95"/>
      <c r="H243" s="95"/>
      <c r="I243" s="95"/>
      <c r="J243" s="95"/>
      <c r="K243" s="95">
        <f>IFERROR('Manpower Projection'!H243*'Manpower Projection'!I243*'Manpower Projection'!J243,0)</f>
        <v>0</v>
      </c>
      <c r="L243" s="96" cm="1">
        <f t="array" ref="L243">'Manpower Projection'!$L$16</f>
        <v>51.69</v>
      </c>
      <c r="M243" s="96">
        <f>'Manpower Projection'!$M$16</f>
        <v>83.549310344827575</v>
      </c>
      <c r="N243" s="96">
        <f>IFERROR('Manpower Projection'!H243*'Manpower Projection'!L243,"")</f>
        <v>0</v>
      </c>
      <c r="O243" s="96">
        <f>IFERROR('Manpower Projection'!M243*'Manpower Projection'!H243,"")</f>
        <v>0</v>
      </c>
    </row>
    <row r="244" spans="6:15" ht="15" customHeight="1">
      <c r="F244" s="94"/>
      <c r="G244" s="95"/>
      <c r="H244" s="95"/>
      <c r="I244" s="95"/>
      <c r="J244" s="95"/>
      <c r="K244" s="95">
        <f>IFERROR('Manpower Projection'!H244*'Manpower Projection'!I244*'Manpower Projection'!J244,0)</f>
        <v>0</v>
      </c>
      <c r="L244" s="96" cm="1">
        <f t="array" ref="L244">'Manpower Projection'!$L$16</f>
        <v>51.69</v>
      </c>
      <c r="M244" s="96">
        <f>'Manpower Projection'!$M$16</f>
        <v>83.549310344827575</v>
      </c>
      <c r="N244" s="96">
        <f>IFERROR('Manpower Projection'!H244*'Manpower Projection'!L244,"")</f>
        <v>0</v>
      </c>
      <c r="O244" s="96">
        <f>IFERROR('Manpower Projection'!M244*'Manpower Projection'!H244,"")</f>
        <v>0</v>
      </c>
    </row>
    <row r="245" spans="6:15" ht="15" customHeight="1">
      <c r="F245" s="94"/>
      <c r="G245" s="95"/>
      <c r="H245" s="95"/>
      <c r="I245" s="95"/>
      <c r="J245" s="95"/>
      <c r="K245" s="95">
        <f>IFERROR('Manpower Projection'!H245*'Manpower Projection'!I245*'Manpower Projection'!J245,0)</f>
        <v>0</v>
      </c>
      <c r="L245" s="96" cm="1">
        <f t="array" ref="L245">'Manpower Projection'!$L$16</f>
        <v>51.69</v>
      </c>
      <c r="M245" s="96">
        <f>'Manpower Projection'!$M$16</f>
        <v>83.549310344827575</v>
      </c>
      <c r="N245" s="96">
        <f>IFERROR('Manpower Projection'!H245*'Manpower Projection'!L245,"")</f>
        <v>0</v>
      </c>
      <c r="O245" s="96">
        <f>IFERROR('Manpower Projection'!M245*'Manpower Projection'!H245,"")</f>
        <v>0</v>
      </c>
    </row>
    <row r="246" spans="6:15" ht="15" customHeight="1">
      <c r="F246" s="94"/>
      <c r="G246" s="95"/>
      <c r="H246" s="95"/>
      <c r="I246" s="95"/>
      <c r="J246" s="95"/>
      <c r="K246" s="95">
        <f>IFERROR('Manpower Projection'!H246*'Manpower Projection'!I246*'Manpower Projection'!J246,0)</f>
        <v>0</v>
      </c>
      <c r="L246" s="96" cm="1">
        <f t="array" ref="L246">'Manpower Projection'!$L$16</f>
        <v>51.69</v>
      </c>
      <c r="M246" s="96">
        <f>'Manpower Projection'!$M$16</f>
        <v>83.549310344827575</v>
      </c>
      <c r="N246" s="96">
        <f>IFERROR('Manpower Projection'!H246*'Manpower Projection'!L246,"")</f>
        <v>0</v>
      </c>
      <c r="O246" s="96">
        <f>IFERROR('Manpower Projection'!M246*'Manpower Projection'!H246,"")</f>
        <v>0</v>
      </c>
    </row>
    <row r="247" spans="6:15" ht="15" customHeight="1">
      <c r="F247" s="94"/>
      <c r="G247" s="95"/>
      <c r="H247" s="95"/>
      <c r="I247" s="95"/>
      <c r="J247" s="95"/>
      <c r="K247" s="95">
        <f>IFERROR('Manpower Projection'!H247*'Manpower Projection'!I247*'Manpower Projection'!J247,0)</f>
        <v>0</v>
      </c>
      <c r="L247" s="96" cm="1">
        <f t="array" ref="L247">'Manpower Projection'!$L$16</f>
        <v>51.69</v>
      </c>
      <c r="M247" s="96">
        <f>'Manpower Projection'!$M$16</f>
        <v>83.549310344827575</v>
      </c>
      <c r="N247" s="96">
        <f>IFERROR('Manpower Projection'!H247*'Manpower Projection'!L247,"")</f>
        <v>0</v>
      </c>
      <c r="O247" s="96">
        <f>IFERROR('Manpower Projection'!M247*'Manpower Projection'!H247,"")</f>
        <v>0</v>
      </c>
    </row>
    <row r="248" spans="6:15" ht="15" customHeight="1">
      <c r="F248" s="94"/>
      <c r="G248" s="95"/>
      <c r="H248" s="95"/>
      <c r="I248" s="95"/>
      <c r="J248" s="95"/>
      <c r="K248" s="95">
        <f>IFERROR('Manpower Projection'!H248*'Manpower Projection'!I248*'Manpower Projection'!J248,0)</f>
        <v>0</v>
      </c>
      <c r="L248" s="96" cm="1">
        <f t="array" ref="L248">'Manpower Projection'!$L$16</f>
        <v>51.69</v>
      </c>
      <c r="M248" s="96">
        <f>'Manpower Projection'!$M$16</f>
        <v>83.549310344827575</v>
      </c>
      <c r="N248" s="96">
        <f>IFERROR('Manpower Projection'!H248*'Manpower Projection'!L248,"")</f>
        <v>0</v>
      </c>
      <c r="O248" s="96">
        <f>IFERROR('Manpower Projection'!M248*'Manpower Projection'!H248,"")</f>
        <v>0</v>
      </c>
    </row>
    <row r="249" spans="6:15" ht="15" customHeight="1">
      <c r="F249" s="94"/>
      <c r="G249" s="95"/>
      <c r="H249" s="95"/>
      <c r="I249" s="95"/>
      <c r="J249" s="95"/>
      <c r="K249" s="95">
        <f>IFERROR('Manpower Projection'!H249*'Manpower Projection'!I249*'Manpower Projection'!J249,0)</f>
        <v>0</v>
      </c>
      <c r="L249" s="96" cm="1">
        <f t="array" ref="L249">'Manpower Projection'!$L$16</f>
        <v>51.69</v>
      </c>
      <c r="M249" s="96">
        <f>'Manpower Projection'!$M$16</f>
        <v>83.549310344827575</v>
      </c>
      <c r="N249" s="96">
        <f>IFERROR('Manpower Projection'!H249*'Manpower Projection'!L249,"")</f>
        <v>0</v>
      </c>
      <c r="O249" s="96">
        <f>IFERROR('Manpower Projection'!M249*'Manpower Projection'!H249,"")</f>
        <v>0</v>
      </c>
    </row>
    <row r="250" spans="6:15" ht="15" customHeight="1">
      <c r="F250" s="94"/>
      <c r="G250" s="95"/>
      <c r="H250" s="95"/>
      <c r="I250" s="95"/>
      <c r="J250" s="95"/>
      <c r="K250" s="95">
        <f>IFERROR('Manpower Projection'!H250*'Manpower Projection'!I250*'Manpower Projection'!J250,0)</f>
        <v>0</v>
      </c>
      <c r="L250" s="96" cm="1">
        <f t="array" ref="L250">'Manpower Projection'!$L$16</f>
        <v>51.69</v>
      </c>
      <c r="M250" s="96">
        <f>'Manpower Projection'!$M$16</f>
        <v>83.549310344827575</v>
      </c>
      <c r="N250" s="96">
        <f>IFERROR('Manpower Projection'!H250*'Manpower Projection'!L250,"")</f>
        <v>0</v>
      </c>
      <c r="O250" s="96">
        <f>IFERROR('Manpower Projection'!M250*'Manpower Projection'!H250,"")</f>
        <v>0</v>
      </c>
    </row>
    <row r="251" spans="6:15" ht="15" customHeight="1">
      <c r="F251" s="94"/>
      <c r="G251" s="95"/>
      <c r="H251" s="95"/>
      <c r="I251" s="95"/>
      <c r="J251" s="95"/>
      <c r="K251" s="95">
        <f>IFERROR('Manpower Projection'!H251*'Manpower Projection'!I251*'Manpower Projection'!J251,0)</f>
        <v>0</v>
      </c>
      <c r="L251" s="96" cm="1">
        <f t="array" ref="L251">'Manpower Projection'!$L$16</f>
        <v>51.69</v>
      </c>
      <c r="M251" s="96">
        <f>'Manpower Projection'!$M$16</f>
        <v>83.549310344827575</v>
      </c>
      <c r="N251" s="96">
        <f>IFERROR('Manpower Projection'!H251*'Manpower Projection'!L251,"")</f>
        <v>0</v>
      </c>
      <c r="O251" s="96">
        <f>IFERROR('Manpower Projection'!M251*'Manpower Projection'!H251,"")</f>
        <v>0</v>
      </c>
    </row>
    <row r="252" spans="6:15" ht="15" customHeight="1">
      <c r="F252" s="94"/>
      <c r="G252" s="95"/>
      <c r="H252" s="95"/>
      <c r="I252" s="95"/>
      <c r="J252" s="95"/>
      <c r="K252" s="95">
        <f>IFERROR('Manpower Projection'!H252*'Manpower Projection'!I252*'Manpower Projection'!J252,0)</f>
        <v>0</v>
      </c>
      <c r="L252" s="96" cm="1">
        <f t="array" ref="L252">'Manpower Projection'!$L$16</f>
        <v>51.69</v>
      </c>
      <c r="M252" s="96">
        <f>'Manpower Projection'!$M$16</f>
        <v>83.549310344827575</v>
      </c>
      <c r="N252" s="96">
        <f>IFERROR('Manpower Projection'!H252*'Manpower Projection'!L252,"")</f>
        <v>0</v>
      </c>
      <c r="O252" s="96">
        <f>IFERROR('Manpower Projection'!M252*'Manpower Projection'!H252,"")</f>
        <v>0</v>
      </c>
    </row>
    <row r="253" spans="6:15" ht="15" customHeight="1">
      <c r="F253" s="94"/>
      <c r="G253" s="95"/>
      <c r="H253" s="95"/>
      <c r="I253" s="95"/>
      <c r="J253" s="95"/>
      <c r="K253" s="95">
        <f>IFERROR('Manpower Projection'!H253*'Manpower Projection'!I253*'Manpower Projection'!J253,0)</f>
        <v>0</v>
      </c>
      <c r="L253" s="96" cm="1">
        <f t="array" ref="L253">'Manpower Projection'!$L$16</f>
        <v>51.69</v>
      </c>
      <c r="M253" s="96">
        <f>'Manpower Projection'!$M$16</f>
        <v>83.549310344827575</v>
      </c>
      <c r="N253" s="96">
        <f>IFERROR('Manpower Projection'!H253*'Manpower Projection'!L253,"")</f>
        <v>0</v>
      </c>
      <c r="O253" s="96">
        <f>IFERROR('Manpower Projection'!M253*'Manpower Projection'!H253,"")</f>
        <v>0</v>
      </c>
    </row>
    <row r="254" spans="6:15" ht="15" customHeight="1">
      <c r="F254" s="94"/>
      <c r="G254" s="95"/>
      <c r="H254" s="95"/>
      <c r="I254" s="95"/>
      <c r="J254" s="95"/>
      <c r="K254" s="95">
        <f>IFERROR('Manpower Projection'!H254*'Manpower Projection'!I254*'Manpower Projection'!J254,0)</f>
        <v>0</v>
      </c>
      <c r="L254" s="96" cm="1">
        <f t="array" ref="L254">'Manpower Projection'!$L$16</f>
        <v>51.69</v>
      </c>
      <c r="M254" s="96">
        <f>'Manpower Projection'!$M$16</f>
        <v>83.549310344827575</v>
      </c>
      <c r="N254" s="96">
        <f>IFERROR('Manpower Projection'!H254*'Manpower Projection'!L254,"")</f>
        <v>0</v>
      </c>
      <c r="O254" s="96">
        <f>IFERROR('Manpower Projection'!M254*'Manpower Projection'!H254,"")</f>
        <v>0</v>
      </c>
    </row>
    <row r="255" spans="6:15" ht="15" customHeight="1">
      <c r="F255" s="94"/>
      <c r="G255" s="95"/>
      <c r="H255" s="95"/>
      <c r="I255" s="95"/>
      <c r="J255" s="95"/>
      <c r="K255" s="95">
        <f>IFERROR('Manpower Projection'!H255*'Manpower Projection'!I255*'Manpower Projection'!J255,0)</f>
        <v>0</v>
      </c>
      <c r="L255" s="96" cm="1">
        <f t="array" ref="L255">'Manpower Projection'!$L$16</f>
        <v>51.69</v>
      </c>
      <c r="M255" s="96">
        <f>'Manpower Projection'!$M$16</f>
        <v>83.549310344827575</v>
      </c>
      <c r="N255" s="96">
        <f>IFERROR('Manpower Projection'!H255*'Manpower Projection'!L255,"")</f>
        <v>0</v>
      </c>
      <c r="O255" s="96">
        <f>IFERROR('Manpower Projection'!M255*'Manpower Projection'!H255,"")</f>
        <v>0</v>
      </c>
    </row>
    <row r="256" spans="6:15" ht="15" customHeight="1">
      <c r="F256" s="94"/>
      <c r="G256" s="95"/>
      <c r="H256" s="95"/>
      <c r="I256" s="95"/>
      <c r="J256" s="95"/>
      <c r="K256" s="95">
        <f>IFERROR('Manpower Projection'!H256*'Manpower Projection'!I256*'Manpower Projection'!J256,0)</f>
        <v>0</v>
      </c>
      <c r="L256" s="96" cm="1">
        <f t="array" ref="L256">'Manpower Projection'!$L$16</f>
        <v>51.69</v>
      </c>
      <c r="M256" s="96">
        <f>'Manpower Projection'!$M$16</f>
        <v>83.549310344827575</v>
      </c>
      <c r="N256" s="96">
        <f>IFERROR('Manpower Projection'!H256*'Manpower Projection'!L256,"")</f>
        <v>0</v>
      </c>
      <c r="O256" s="96">
        <f>IFERROR('Manpower Projection'!M256*'Manpower Projection'!H256,"")</f>
        <v>0</v>
      </c>
    </row>
    <row r="257" spans="6:15" ht="15" customHeight="1">
      <c r="F257" s="94"/>
      <c r="G257" s="95"/>
      <c r="H257" s="95"/>
      <c r="I257" s="95"/>
      <c r="J257" s="95"/>
      <c r="K257" s="95">
        <f>IFERROR('Manpower Projection'!H257*'Manpower Projection'!I257*'Manpower Projection'!J257,0)</f>
        <v>0</v>
      </c>
      <c r="L257" s="96" cm="1">
        <f t="array" ref="L257">'Manpower Projection'!$L$16</f>
        <v>51.69</v>
      </c>
      <c r="M257" s="96">
        <f>'Manpower Projection'!$M$16</f>
        <v>83.549310344827575</v>
      </c>
      <c r="N257" s="96">
        <f>IFERROR('Manpower Projection'!H257*'Manpower Projection'!L257,"")</f>
        <v>0</v>
      </c>
      <c r="O257" s="96">
        <f>IFERROR('Manpower Projection'!M257*'Manpower Projection'!H257,"")</f>
        <v>0</v>
      </c>
    </row>
    <row r="258" spans="6:15" ht="15" customHeight="1">
      <c r="F258" s="94"/>
      <c r="G258" s="95"/>
      <c r="H258" s="95"/>
      <c r="I258" s="95"/>
      <c r="J258" s="95"/>
      <c r="K258" s="95">
        <f>IFERROR('Manpower Projection'!H258*'Manpower Projection'!I258*'Manpower Projection'!J258,0)</f>
        <v>0</v>
      </c>
      <c r="L258" s="96" cm="1">
        <f t="array" ref="L258">'Manpower Projection'!$L$16</f>
        <v>51.69</v>
      </c>
      <c r="M258" s="96">
        <f>'Manpower Projection'!$M$16</f>
        <v>83.549310344827575</v>
      </c>
      <c r="N258" s="96">
        <f>IFERROR('Manpower Projection'!H258*'Manpower Projection'!L258,"")</f>
        <v>0</v>
      </c>
      <c r="O258" s="96">
        <f>IFERROR('Manpower Projection'!M258*'Manpower Projection'!H258,"")</f>
        <v>0</v>
      </c>
    </row>
    <row r="259" spans="6:15" ht="15" customHeight="1">
      <c r="F259" s="94"/>
      <c r="G259" s="95"/>
      <c r="H259" s="95"/>
      <c r="I259" s="95"/>
      <c r="J259" s="95"/>
      <c r="K259" s="95">
        <f>IFERROR('Manpower Projection'!H259*'Manpower Projection'!I259*'Manpower Projection'!J259,0)</f>
        <v>0</v>
      </c>
      <c r="L259" s="96" cm="1">
        <f t="array" ref="L259">'Manpower Projection'!$L$16</f>
        <v>51.69</v>
      </c>
      <c r="M259" s="96">
        <f>'Manpower Projection'!$M$16</f>
        <v>83.549310344827575</v>
      </c>
      <c r="N259" s="96">
        <f>IFERROR('Manpower Projection'!H259*'Manpower Projection'!L259,"")</f>
        <v>0</v>
      </c>
      <c r="O259" s="96">
        <f>IFERROR('Manpower Projection'!M259*'Manpower Projection'!H259,"")</f>
        <v>0</v>
      </c>
    </row>
    <row r="260" spans="6:15" ht="15" customHeight="1">
      <c r="F260" s="94"/>
      <c r="G260" s="95"/>
      <c r="H260" s="95"/>
      <c r="I260" s="95"/>
      <c r="J260" s="95"/>
      <c r="K260" s="95">
        <f>IFERROR('Manpower Projection'!H260*'Manpower Projection'!I260*'Manpower Projection'!J260,0)</f>
        <v>0</v>
      </c>
      <c r="L260" s="96" cm="1">
        <f t="array" ref="L260">'Manpower Projection'!$L$16</f>
        <v>51.69</v>
      </c>
      <c r="M260" s="96">
        <f>'Manpower Projection'!$M$16</f>
        <v>83.549310344827575</v>
      </c>
      <c r="N260" s="96">
        <f>IFERROR('Manpower Projection'!H260*'Manpower Projection'!L260,"")</f>
        <v>0</v>
      </c>
      <c r="O260" s="96">
        <f>IFERROR('Manpower Projection'!M260*'Manpower Projection'!H260,"")</f>
        <v>0</v>
      </c>
    </row>
    <row r="261" spans="6:15" ht="15" customHeight="1">
      <c r="F261" s="94"/>
      <c r="G261" s="95"/>
      <c r="H261" s="95"/>
      <c r="I261" s="95"/>
      <c r="J261" s="95"/>
      <c r="K261" s="95">
        <f>IFERROR('Manpower Projection'!H261*'Manpower Projection'!I261*'Manpower Projection'!J261,0)</f>
        <v>0</v>
      </c>
      <c r="L261" s="96" cm="1">
        <f t="array" ref="L261">'Manpower Projection'!$L$16</f>
        <v>51.69</v>
      </c>
      <c r="M261" s="96">
        <f>'Manpower Projection'!$M$16</f>
        <v>83.549310344827575</v>
      </c>
      <c r="N261" s="96">
        <f>IFERROR('Manpower Projection'!H261*'Manpower Projection'!L261,"")</f>
        <v>0</v>
      </c>
      <c r="O261" s="96">
        <f>IFERROR('Manpower Projection'!M261*'Manpower Projection'!H261,"")</f>
        <v>0</v>
      </c>
    </row>
    <row r="262" spans="6:15" ht="15" customHeight="1">
      <c r="F262" s="94"/>
      <c r="G262" s="95"/>
      <c r="H262" s="95"/>
      <c r="I262" s="95"/>
      <c r="J262" s="95"/>
      <c r="K262" s="95">
        <f>IFERROR('Manpower Projection'!H262*'Manpower Projection'!I262*'Manpower Projection'!J262,0)</f>
        <v>0</v>
      </c>
      <c r="L262" s="96" cm="1">
        <f t="array" ref="L262">'Manpower Projection'!$L$16</f>
        <v>51.69</v>
      </c>
      <c r="M262" s="96">
        <f>'Manpower Projection'!$M$16</f>
        <v>83.549310344827575</v>
      </c>
      <c r="N262" s="96">
        <f>IFERROR('Manpower Projection'!H262*'Manpower Projection'!L262,"")</f>
        <v>0</v>
      </c>
      <c r="O262" s="96">
        <f>IFERROR('Manpower Projection'!M262*'Manpower Projection'!H262,"")</f>
        <v>0</v>
      </c>
    </row>
    <row r="263" spans="6:15" ht="15" customHeight="1">
      <c r="F263" s="94"/>
      <c r="G263" s="95"/>
      <c r="H263" s="95"/>
      <c r="I263" s="95"/>
      <c r="J263" s="95"/>
      <c r="K263" s="95">
        <f>IFERROR('Manpower Projection'!H263*'Manpower Projection'!I263*'Manpower Projection'!J263,0)</f>
        <v>0</v>
      </c>
      <c r="L263" s="96" cm="1">
        <f t="array" ref="L263">'Manpower Projection'!$L$16</f>
        <v>51.69</v>
      </c>
      <c r="M263" s="96">
        <f>'Manpower Projection'!$M$16</f>
        <v>83.549310344827575</v>
      </c>
      <c r="N263" s="96">
        <f>IFERROR('Manpower Projection'!H263*'Manpower Projection'!L263,"")</f>
        <v>0</v>
      </c>
      <c r="O263" s="96">
        <f>IFERROR('Manpower Projection'!M263*'Manpower Projection'!H263,"")</f>
        <v>0</v>
      </c>
    </row>
    <row r="264" spans="6:15" ht="15" customHeight="1">
      <c r="F264" s="94"/>
      <c r="G264" s="95"/>
      <c r="H264" s="95"/>
      <c r="I264" s="95"/>
      <c r="J264" s="95"/>
      <c r="K264" s="95">
        <f>IFERROR('Manpower Projection'!H264*'Manpower Projection'!I264*'Manpower Projection'!J264,0)</f>
        <v>0</v>
      </c>
      <c r="L264" s="96" cm="1">
        <f t="array" ref="L264">'Manpower Projection'!$L$16</f>
        <v>51.69</v>
      </c>
      <c r="M264" s="96">
        <f>'Manpower Projection'!$M$16</f>
        <v>83.549310344827575</v>
      </c>
      <c r="N264" s="96">
        <f>IFERROR('Manpower Projection'!H264*'Manpower Projection'!L264,"")</f>
        <v>0</v>
      </c>
      <c r="O264" s="96">
        <f>IFERROR('Manpower Projection'!M264*'Manpower Projection'!H264,"")</f>
        <v>0</v>
      </c>
    </row>
    <row r="265" spans="6:15" ht="15" customHeight="1">
      <c r="F265" s="94"/>
      <c r="G265" s="95"/>
      <c r="H265" s="95"/>
      <c r="I265" s="95"/>
      <c r="J265" s="95"/>
      <c r="K265" s="95">
        <f>IFERROR('Manpower Projection'!H265*'Manpower Projection'!I265*'Manpower Projection'!J265,0)</f>
        <v>0</v>
      </c>
      <c r="L265" s="96" cm="1">
        <f t="array" ref="L265">'Manpower Projection'!$L$16</f>
        <v>51.69</v>
      </c>
      <c r="M265" s="96">
        <f>'Manpower Projection'!$M$16</f>
        <v>83.549310344827575</v>
      </c>
      <c r="N265" s="96">
        <f>IFERROR('Manpower Projection'!H265*'Manpower Projection'!L265,"")</f>
        <v>0</v>
      </c>
      <c r="O265" s="96">
        <f>IFERROR('Manpower Projection'!M265*'Manpower Projection'!H265,"")</f>
        <v>0</v>
      </c>
    </row>
    <row r="266" spans="6:15" ht="15" customHeight="1">
      <c r="F266" s="94"/>
      <c r="G266" s="95"/>
      <c r="H266" s="95"/>
      <c r="I266" s="95"/>
      <c r="J266" s="95"/>
      <c r="K266" s="95">
        <f>IFERROR('Manpower Projection'!H266*'Manpower Projection'!I266*'Manpower Projection'!J266,0)</f>
        <v>0</v>
      </c>
      <c r="L266" s="96" cm="1">
        <f t="array" ref="L266">'Manpower Projection'!$L$16</f>
        <v>51.69</v>
      </c>
      <c r="M266" s="96">
        <f>'Manpower Projection'!$M$16</f>
        <v>83.549310344827575</v>
      </c>
      <c r="N266" s="96">
        <f>IFERROR('Manpower Projection'!H266*'Manpower Projection'!L266,"")</f>
        <v>0</v>
      </c>
      <c r="O266" s="96">
        <f>IFERROR('Manpower Projection'!M266*'Manpower Projection'!H266,"")</f>
        <v>0</v>
      </c>
    </row>
    <row r="267" spans="6:15" ht="15" customHeight="1">
      <c r="F267" s="94"/>
      <c r="G267" s="95"/>
      <c r="H267" s="95"/>
      <c r="I267" s="95"/>
      <c r="J267" s="95"/>
      <c r="K267" s="95">
        <f>IFERROR('Manpower Projection'!H267*'Manpower Projection'!I267*'Manpower Projection'!J267,0)</f>
        <v>0</v>
      </c>
      <c r="L267" s="96" cm="1">
        <f t="array" ref="L267">'Manpower Projection'!$L$16</f>
        <v>51.69</v>
      </c>
      <c r="M267" s="96">
        <f>'Manpower Projection'!$M$16</f>
        <v>83.549310344827575</v>
      </c>
      <c r="N267" s="96">
        <f>IFERROR('Manpower Projection'!H267*'Manpower Projection'!L267,"")</f>
        <v>0</v>
      </c>
      <c r="O267" s="96">
        <f>IFERROR('Manpower Projection'!M267*'Manpower Projection'!H267,"")</f>
        <v>0</v>
      </c>
    </row>
    <row r="268" spans="6:15" ht="15" customHeight="1">
      <c r="F268" s="94"/>
      <c r="G268" s="95"/>
      <c r="H268" s="95"/>
      <c r="I268" s="95"/>
      <c r="J268" s="95"/>
      <c r="K268" s="95">
        <f>IFERROR('Manpower Projection'!H268*'Manpower Projection'!I268*'Manpower Projection'!J268,0)</f>
        <v>0</v>
      </c>
      <c r="L268" s="96" cm="1">
        <f t="array" ref="L268">'Manpower Projection'!$L$16</f>
        <v>51.69</v>
      </c>
      <c r="M268" s="96">
        <f>'Manpower Projection'!$M$16</f>
        <v>83.549310344827575</v>
      </c>
      <c r="N268" s="96">
        <f>IFERROR('Manpower Projection'!H268*'Manpower Projection'!L268,"")</f>
        <v>0</v>
      </c>
      <c r="O268" s="96">
        <f>IFERROR('Manpower Projection'!M268*'Manpower Projection'!H268,"")</f>
        <v>0</v>
      </c>
    </row>
    <row r="269" spans="6:15" ht="15" customHeight="1">
      <c r="F269" s="94"/>
      <c r="G269" s="95"/>
      <c r="H269" s="95"/>
      <c r="I269" s="95"/>
      <c r="J269" s="95"/>
      <c r="K269" s="95">
        <f>IFERROR('Manpower Projection'!H269*'Manpower Projection'!I269*'Manpower Projection'!J269,0)</f>
        <v>0</v>
      </c>
      <c r="L269" s="96" cm="1">
        <f t="array" ref="L269">'Manpower Projection'!$L$16</f>
        <v>51.69</v>
      </c>
      <c r="M269" s="96">
        <f>'Manpower Projection'!$M$16</f>
        <v>83.549310344827575</v>
      </c>
      <c r="N269" s="96">
        <f>IFERROR('Manpower Projection'!H269*'Manpower Projection'!L269,"")</f>
        <v>0</v>
      </c>
      <c r="O269" s="96">
        <f>IFERROR('Manpower Projection'!M269*'Manpower Projection'!H269,"")</f>
        <v>0</v>
      </c>
    </row>
    <row r="270" spans="6:15" ht="15" customHeight="1">
      <c r="F270" s="94"/>
      <c r="G270" s="95"/>
      <c r="H270" s="95"/>
      <c r="I270" s="95"/>
      <c r="J270" s="95"/>
      <c r="K270" s="95">
        <f>IFERROR('Manpower Projection'!H270*'Manpower Projection'!I270*'Manpower Projection'!J270,0)</f>
        <v>0</v>
      </c>
      <c r="L270" s="96" cm="1">
        <f t="array" ref="L270">'Manpower Projection'!$L$16</f>
        <v>51.69</v>
      </c>
      <c r="M270" s="96">
        <f>'Manpower Projection'!$M$16</f>
        <v>83.549310344827575</v>
      </c>
      <c r="N270" s="96">
        <f>IFERROR('Manpower Projection'!H270*'Manpower Projection'!L270,"")</f>
        <v>0</v>
      </c>
      <c r="O270" s="96">
        <f>IFERROR('Manpower Projection'!M270*'Manpower Projection'!H270,"")</f>
        <v>0</v>
      </c>
    </row>
    <row r="271" spans="6:15" ht="15" customHeight="1">
      <c r="F271" s="94"/>
      <c r="G271" s="95"/>
      <c r="H271" s="95"/>
      <c r="I271" s="95"/>
      <c r="J271" s="95"/>
      <c r="K271" s="95">
        <f>IFERROR('Manpower Projection'!H271*'Manpower Projection'!I271*'Manpower Projection'!J271,0)</f>
        <v>0</v>
      </c>
      <c r="L271" s="96" cm="1">
        <f t="array" ref="L271">'Manpower Projection'!$L$16</f>
        <v>51.69</v>
      </c>
      <c r="M271" s="96">
        <f>'Manpower Projection'!$M$16</f>
        <v>83.549310344827575</v>
      </c>
      <c r="N271" s="96">
        <f>IFERROR('Manpower Projection'!H271*'Manpower Projection'!L271,"")</f>
        <v>0</v>
      </c>
      <c r="O271" s="96">
        <f>IFERROR('Manpower Projection'!M271*'Manpower Projection'!H271,"")</f>
        <v>0</v>
      </c>
    </row>
    <row r="272" spans="6:15" ht="15" customHeight="1">
      <c r="F272" s="94"/>
      <c r="G272" s="95"/>
      <c r="H272" s="95"/>
      <c r="I272" s="95"/>
      <c r="J272" s="95"/>
      <c r="K272" s="95">
        <f>IFERROR('Manpower Projection'!H272*'Manpower Projection'!I272*'Manpower Projection'!J272,0)</f>
        <v>0</v>
      </c>
      <c r="L272" s="96" cm="1">
        <f t="array" ref="L272">'Manpower Projection'!$L$16</f>
        <v>51.69</v>
      </c>
      <c r="M272" s="96">
        <f>'Manpower Projection'!$M$16</f>
        <v>83.549310344827575</v>
      </c>
      <c r="N272" s="96">
        <f>IFERROR('Manpower Projection'!H272*'Manpower Projection'!L272,"")</f>
        <v>0</v>
      </c>
      <c r="O272" s="96">
        <f>IFERROR('Manpower Projection'!M272*'Manpower Projection'!H272,"")</f>
        <v>0</v>
      </c>
    </row>
    <row r="273" spans="6:15" ht="15" customHeight="1">
      <c r="F273" s="94"/>
      <c r="G273" s="95"/>
      <c r="H273" s="95"/>
      <c r="I273" s="95"/>
      <c r="J273" s="95"/>
      <c r="K273" s="95">
        <f>IFERROR('Manpower Projection'!H273*'Manpower Projection'!I273*'Manpower Projection'!J273,0)</f>
        <v>0</v>
      </c>
      <c r="L273" s="96" cm="1">
        <f t="array" ref="L273">'Manpower Projection'!$L$16</f>
        <v>51.69</v>
      </c>
      <c r="M273" s="96">
        <f>'Manpower Projection'!$M$16</f>
        <v>83.549310344827575</v>
      </c>
      <c r="N273" s="96">
        <f>IFERROR('Manpower Projection'!H273*'Manpower Projection'!L273,"")</f>
        <v>0</v>
      </c>
      <c r="O273" s="96">
        <f>IFERROR('Manpower Projection'!M273*'Manpower Projection'!H273,"")</f>
        <v>0</v>
      </c>
    </row>
    <row r="274" spans="6:15" ht="15" customHeight="1">
      <c r="F274" s="94"/>
      <c r="G274" s="95"/>
      <c r="H274" s="95"/>
      <c r="I274" s="95"/>
      <c r="J274" s="95"/>
      <c r="K274" s="95">
        <f>IFERROR('Manpower Projection'!H274*'Manpower Projection'!I274*'Manpower Projection'!J274,0)</f>
        <v>0</v>
      </c>
      <c r="L274" s="96" cm="1">
        <f t="array" ref="L274">'Manpower Projection'!$L$16</f>
        <v>51.69</v>
      </c>
      <c r="M274" s="96">
        <f>'Manpower Projection'!$M$16</f>
        <v>83.549310344827575</v>
      </c>
      <c r="N274" s="96">
        <f>IFERROR('Manpower Projection'!H274*'Manpower Projection'!L274,"")</f>
        <v>0</v>
      </c>
      <c r="O274" s="96">
        <f>IFERROR('Manpower Projection'!M274*'Manpower Projection'!H274,"")</f>
        <v>0</v>
      </c>
    </row>
    <row r="275" spans="6:15" ht="15" customHeight="1">
      <c r="F275" s="94"/>
      <c r="G275" s="95"/>
      <c r="H275" s="95"/>
      <c r="I275" s="95"/>
      <c r="J275" s="95"/>
      <c r="K275" s="95">
        <f>IFERROR('Manpower Projection'!H275*'Manpower Projection'!I275*'Manpower Projection'!J275,0)</f>
        <v>0</v>
      </c>
      <c r="L275" s="96" cm="1">
        <f t="array" ref="L275">'Manpower Projection'!$L$16</f>
        <v>51.69</v>
      </c>
      <c r="M275" s="96">
        <f>'Manpower Projection'!$M$16</f>
        <v>83.549310344827575</v>
      </c>
      <c r="N275" s="96">
        <f>IFERROR('Manpower Projection'!H275*'Manpower Projection'!L275,"")</f>
        <v>0</v>
      </c>
      <c r="O275" s="96">
        <f>IFERROR('Manpower Projection'!M275*'Manpower Projection'!H275,"")</f>
        <v>0</v>
      </c>
    </row>
    <row r="276" spans="6:15" ht="15" customHeight="1">
      <c r="F276" s="94"/>
      <c r="G276" s="95"/>
      <c r="H276" s="95"/>
      <c r="I276" s="95"/>
      <c r="J276" s="95"/>
      <c r="K276" s="95">
        <f>IFERROR('Manpower Projection'!H276*'Manpower Projection'!I276*'Manpower Projection'!J276,0)</f>
        <v>0</v>
      </c>
      <c r="L276" s="96" cm="1">
        <f t="array" ref="L276">'Manpower Projection'!$L$16</f>
        <v>51.69</v>
      </c>
      <c r="M276" s="96">
        <f>'Manpower Projection'!$M$16</f>
        <v>83.549310344827575</v>
      </c>
      <c r="N276" s="96">
        <f>IFERROR('Manpower Projection'!H276*'Manpower Projection'!L276,"")</f>
        <v>0</v>
      </c>
      <c r="O276" s="96">
        <f>IFERROR('Manpower Projection'!M276*'Manpower Projection'!H276,"")</f>
        <v>0</v>
      </c>
    </row>
    <row r="277" spans="6:15" ht="15" customHeight="1">
      <c r="F277" s="94"/>
      <c r="G277" s="95"/>
      <c r="H277" s="95"/>
      <c r="I277" s="95"/>
      <c r="J277" s="95"/>
      <c r="K277" s="95">
        <f>IFERROR('Manpower Projection'!H277*'Manpower Projection'!I277*'Manpower Projection'!J277,0)</f>
        <v>0</v>
      </c>
      <c r="L277" s="96" cm="1">
        <f t="array" ref="L277">'Manpower Projection'!$L$16</f>
        <v>51.69</v>
      </c>
      <c r="M277" s="96">
        <f>'Manpower Projection'!$M$16</f>
        <v>83.549310344827575</v>
      </c>
      <c r="N277" s="96">
        <f>IFERROR('Manpower Projection'!H277*'Manpower Projection'!L277,"")</f>
        <v>0</v>
      </c>
      <c r="O277" s="96">
        <f>IFERROR('Manpower Projection'!M277*'Manpower Projection'!H277,"")</f>
        <v>0</v>
      </c>
    </row>
    <row r="278" spans="6:15" ht="15" customHeight="1">
      <c r="F278" s="94"/>
      <c r="G278" s="95"/>
      <c r="H278" s="95"/>
      <c r="I278" s="95"/>
      <c r="J278" s="95"/>
      <c r="K278" s="95">
        <f>IFERROR('Manpower Projection'!H278*'Manpower Projection'!I278*'Manpower Projection'!J278,0)</f>
        <v>0</v>
      </c>
      <c r="L278" s="96" cm="1">
        <f t="array" ref="L278">'Manpower Projection'!$L$16</f>
        <v>51.69</v>
      </c>
      <c r="M278" s="96">
        <f>'Manpower Projection'!$M$16</f>
        <v>83.549310344827575</v>
      </c>
      <c r="N278" s="96">
        <f>IFERROR('Manpower Projection'!H278*'Manpower Projection'!L278,"")</f>
        <v>0</v>
      </c>
      <c r="O278" s="96">
        <f>IFERROR('Manpower Projection'!M278*'Manpower Projection'!H278,"")</f>
        <v>0</v>
      </c>
    </row>
    <row r="279" spans="6:15" ht="15" customHeight="1">
      <c r="F279" s="94"/>
      <c r="G279" s="95"/>
      <c r="H279" s="95"/>
      <c r="I279" s="95"/>
      <c r="J279" s="95"/>
      <c r="K279" s="95">
        <f>IFERROR('Manpower Projection'!H279*'Manpower Projection'!I279*'Manpower Projection'!J279,0)</f>
        <v>0</v>
      </c>
      <c r="L279" s="96" cm="1">
        <f t="array" ref="L279">'Manpower Projection'!$L$16</f>
        <v>51.69</v>
      </c>
      <c r="M279" s="96">
        <f>'Manpower Projection'!$M$16</f>
        <v>83.549310344827575</v>
      </c>
      <c r="N279" s="96">
        <f>IFERROR('Manpower Projection'!H279*'Manpower Projection'!L279,"")</f>
        <v>0</v>
      </c>
      <c r="O279" s="96">
        <f>IFERROR('Manpower Projection'!M279*'Manpower Projection'!H279,"")</f>
        <v>0</v>
      </c>
    </row>
    <row r="280" spans="6:15" ht="15" customHeight="1">
      <c r="F280" s="94"/>
      <c r="G280" s="95"/>
      <c r="H280" s="95"/>
      <c r="I280" s="95"/>
      <c r="J280" s="95"/>
      <c r="K280" s="95">
        <f>IFERROR('Manpower Projection'!H280*'Manpower Projection'!I280*'Manpower Projection'!J280,0)</f>
        <v>0</v>
      </c>
      <c r="L280" s="96" cm="1">
        <f t="array" ref="L280">'Manpower Projection'!$L$16</f>
        <v>51.69</v>
      </c>
      <c r="M280" s="96">
        <f>'Manpower Projection'!$M$16</f>
        <v>83.549310344827575</v>
      </c>
      <c r="N280" s="96">
        <f>IFERROR('Manpower Projection'!H280*'Manpower Projection'!L280,"")</f>
        <v>0</v>
      </c>
      <c r="O280" s="96">
        <f>IFERROR('Manpower Projection'!M280*'Manpower Projection'!H280,"")</f>
        <v>0</v>
      </c>
    </row>
    <row r="281" spans="6:15" ht="15" customHeight="1">
      <c r="F281" s="94"/>
      <c r="G281" s="95"/>
      <c r="H281" s="95"/>
      <c r="I281" s="95"/>
      <c r="J281" s="95"/>
      <c r="K281" s="95">
        <f>IFERROR('Manpower Projection'!H281*'Manpower Projection'!I281*'Manpower Projection'!J281,0)</f>
        <v>0</v>
      </c>
      <c r="L281" s="96" cm="1">
        <f t="array" ref="L281">'Manpower Projection'!$L$16</f>
        <v>51.69</v>
      </c>
      <c r="M281" s="96">
        <f>'Manpower Projection'!$M$16</f>
        <v>83.549310344827575</v>
      </c>
      <c r="N281" s="96">
        <f>IFERROR('Manpower Projection'!H281*'Manpower Projection'!L281,"")</f>
        <v>0</v>
      </c>
      <c r="O281" s="96">
        <f>IFERROR('Manpower Projection'!M281*'Manpower Projection'!H281,"")</f>
        <v>0</v>
      </c>
    </row>
    <row r="282" spans="6:15" ht="15" customHeight="1">
      <c r="F282" s="94"/>
      <c r="G282" s="95"/>
      <c r="H282" s="95"/>
      <c r="I282" s="95"/>
      <c r="J282" s="95"/>
      <c r="K282" s="95">
        <f>IFERROR('Manpower Projection'!H282*'Manpower Projection'!I282*'Manpower Projection'!J282,0)</f>
        <v>0</v>
      </c>
      <c r="L282" s="96" cm="1">
        <f t="array" ref="L282">'Manpower Projection'!$L$16</f>
        <v>51.69</v>
      </c>
      <c r="M282" s="96">
        <f>'Manpower Projection'!$M$16</f>
        <v>83.549310344827575</v>
      </c>
      <c r="N282" s="96">
        <f>IFERROR('Manpower Projection'!H282*'Manpower Projection'!L282,"")</f>
        <v>0</v>
      </c>
      <c r="O282" s="96">
        <f>IFERROR('Manpower Projection'!M282*'Manpower Projection'!H282,"")</f>
        <v>0</v>
      </c>
    </row>
    <row r="283" spans="6:15" ht="15" customHeight="1">
      <c r="F283" s="94"/>
      <c r="G283" s="95"/>
      <c r="H283" s="95"/>
      <c r="I283" s="95"/>
      <c r="J283" s="95"/>
      <c r="K283" s="95">
        <f>IFERROR('Manpower Projection'!H283*'Manpower Projection'!I283*'Manpower Projection'!J283,0)</f>
        <v>0</v>
      </c>
      <c r="L283" s="96" cm="1">
        <f t="array" ref="L283">'Manpower Projection'!$L$16</f>
        <v>51.69</v>
      </c>
      <c r="M283" s="96">
        <f>'Manpower Projection'!$M$16</f>
        <v>83.549310344827575</v>
      </c>
      <c r="N283" s="96">
        <f>IFERROR('Manpower Projection'!H283*'Manpower Projection'!L283,"")</f>
        <v>0</v>
      </c>
      <c r="O283" s="96">
        <f>IFERROR('Manpower Projection'!M283*'Manpower Projection'!H283,"")</f>
        <v>0</v>
      </c>
    </row>
    <row r="284" spans="6:15" ht="15" customHeight="1">
      <c r="F284" s="94"/>
      <c r="G284" s="95"/>
      <c r="H284" s="95"/>
      <c r="I284" s="95"/>
      <c r="J284" s="95"/>
      <c r="K284" s="95">
        <f>IFERROR('Manpower Projection'!H284*'Manpower Projection'!I284*'Manpower Projection'!J284,0)</f>
        <v>0</v>
      </c>
      <c r="L284" s="96" cm="1">
        <f t="array" ref="L284">'Manpower Projection'!$L$16</f>
        <v>51.69</v>
      </c>
      <c r="M284" s="96">
        <f>'Manpower Projection'!$M$16</f>
        <v>83.549310344827575</v>
      </c>
      <c r="N284" s="96">
        <f>IFERROR('Manpower Projection'!H284*'Manpower Projection'!L284,"")</f>
        <v>0</v>
      </c>
      <c r="O284" s="96">
        <f>IFERROR('Manpower Projection'!M284*'Manpower Projection'!H284,"")</f>
        <v>0</v>
      </c>
    </row>
    <row r="285" spans="6:15" ht="15" customHeight="1">
      <c r="F285" s="94"/>
      <c r="G285" s="95"/>
      <c r="H285" s="95"/>
      <c r="I285" s="95"/>
      <c r="J285" s="95"/>
      <c r="K285" s="95">
        <f>IFERROR('Manpower Projection'!H285*'Manpower Projection'!I285*'Manpower Projection'!J285,0)</f>
        <v>0</v>
      </c>
      <c r="L285" s="96" cm="1">
        <f t="array" ref="L285">'Manpower Projection'!$L$16</f>
        <v>51.69</v>
      </c>
      <c r="M285" s="96">
        <f>'Manpower Projection'!$M$16</f>
        <v>83.549310344827575</v>
      </c>
      <c r="N285" s="96">
        <f>IFERROR('Manpower Projection'!H285*'Manpower Projection'!L285,"")</f>
        <v>0</v>
      </c>
      <c r="O285" s="96">
        <f>IFERROR('Manpower Projection'!M285*'Manpower Projection'!H285,"")</f>
        <v>0</v>
      </c>
    </row>
    <row r="286" spans="6:15" ht="15" customHeight="1">
      <c r="F286" s="94"/>
      <c r="G286" s="95"/>
      <c r="H286" s="95"/>
      <c r="I286" s="95"/>
      <c r="J286" s="95"/>
      <c r="K286" s="95">
        <f>IFERROR('Manpower Projection'!H286*'Manpower Projection'!I286*'Manpower Projection'!J286,0)</f>
        <v>0</v>
      </c>
      <c r="L286" s="96" cm="1">
        <f t="array" ref="L286">'Manpower Projection'!$L$16</f>
        <v>51.69</v>
      </c>
      <c r="M286" s="96">
        <f>'Manpower Projection'!$M$16</f>
        <v>83.549310344827575</v>
      </c>
      <c r="N286" s="96">
        <f>IFERROR('Manpower Projection'!H286*'Manpower Projection'!L286,"")</f>
        <v>0</v>
      </c>
      <c r="O286" s="96">
        <f>IFERROR('Manpower Projection'!M286*'Manpower Projection'!H286,"")</f>
        <v>0</v>
      </c>
    </row>
    <row r="287" spans="6:15" ht="15" customHeight="1">
      <c r="F287" s="94"/>
      <c r="G287" s="95"/>
      <c r="H287" s="95"/>
      <c r="I287" s="95"/>
      <c r="J287" s="95"/>
      <c r="K287" s="95">
        <f>IFERROR('Manpower Projection'!H287*'Manpower Projection'!I287*'Manpower Projection'!J287,0)</f>
        <v>0</v>
      </c>
      <c r="L287" s="96" cm="1">
        <f t="array" ref="L287">'Manpower Projection'!$L$16</f>
        <v>51.69</v>
      </c>
      <c r="M287" s="96">
        <f>'Manpower Projection'!$M$16</f>
        <v>83.549310344827575</v>
      </c>
      <c r="N287" s="96">
        <f>IFERROR('Manpower Projection'!H287*'Manpower Projection'!L287,"")</f>
        <v>0</v>
      </c>
      <c r="O287" s="96">
        <f>IFERROR('Manpower Projection'!M287*'Manpower Projection'!H287,"")</f>
        <v>0</v>
      </c>
    </row>
    <row r="288" spans="6:15" ht="15" customHeight="1">
      <c r="F288" s="94"/>
      <c r="G288" s="95"/>
      <c r="H288" s="95"/>
      <c r="I288" s="95"/>
      <c r="J288" s="95"/>
      <c r="K288" s="95">
        <f>IFERROR('Manpower Projection'!H288*'Manpower Projection'!I288*'Manpower Projection'!J288,0)</f>
        <v>0</v>
      </c>
      <c r="L288" s="96" cm="1">
        <f t="array" ref="L288">'Manpower Projection'!$L$16</f>
        <v>51.69</v>
      </c>
      <c r="M288" s="96">
        <f>'Manpower Projection'!$M$16</f>
        <v>83.549310344827575</v>
      </c>
      <c r="N288" s="96">
        <f>IFERROR('Manpower Projection'!H288*'Manpower Projection'!L288,"")</f>
        <v>0</v>
      </c>
      <c r="O288" s="96">
        <f>IFERROR('Manpower Projection'!M288*'Manpower Projection'!H288,"")</f>
        <v>0</v>
      </c>
    </row>
    <row r="289" spans="6:15" ht="15" customHeight="1">
      <c r="F289" s="94"/>
      <c r="G289" s="95"/>
      <c r="H289" s="95"/>
      <c r="I289" s="95"/>
      <c r="J289" s="95"/>
      <c r="K289" s="95">
        <f>IFERROR('Manpower Projection'!H289*'Manpower Projection'!I289*'Manpower Projection'!J289,0)</f>
        <v>0</v>
      </c>
      <c r="L289" s="96" cm="1">
        <f t="array" ref="L289">'Manpower Projection'!$L$16</f>
        <v>51.69</v>
      </c>
      <c r="M289" s="96">
        <f>'Manpower Projection'!$M$16</f>
        <v>83.549310344827575</v>
      </c>
      <c r="N289" s="96">
        <f>IFERROR('Manpower Projection'!H289*'Manpower Projection'!L289,"")</f>
        <v>0</v>
      </c>
      <c r="O289" s="96">
        <f>IFERROR('Manpower Projection'!M289*'Manpower Projection'!H289,"")</f>
        <v>0</v>
      </c>
    </row>
    <row r="290" spans="6:15" ht="15" customHeight="1">
      <c r="F290" s="94"/>
      <c r="G290" s="95"/>
      <c r="H290" s="95"/>
      <c r="I290" s="95"/>
      <c r="J290" s="95"/>
      <c r="K290" s="95">
        <f>IFERROR('Manpower Projection'!H290*'Manpower Projection'!I290*'Manpower Projection'!J290,0)</f>
        <v>0</v>
      </c>
      <c r="L290" s="96" cm="1">
        <f t="array" ref="L290">'Manpower Projection'!$L$16</f>
        <v>51.69</v>
      </c>
      <c r="M290" s="96">
        <f>'Manpower Projection'!$M$16</f>
        <v>83.549310344827575</v>
      </c>
      <c r="N290" s="96">
        <f>IFERROR('Manpower Projection'!H290*'Manpower Projection'!L290,"")</f>
        <v>0</v>
      </c>
      <c r="O290" s="96">
        <f>IFERROR('Manpower Projection'!M290*'Manpower Projection'!H290,"")</f>
        <v>0</v>
      </c>
    </row>
    <row r="291" spans="6:15" ht="15" customHeight="1">
      <c r="F291" s="94"/>
      <c r="G291" s="95"/>
      <c r="H291" s="95"/>
      <c r="I291" s="95"/>
      <c r="J291" s="95"/>
      <c r="K291" s="95">
        <f>IFERROR('Manpower Projection'!H291*'Manpower Projection'!I291*'Manpower Projection'!J291,0)</f>
        <v>0</v>
      </c>
      <c r="L291" s="96" cm="1">
        <f t="array" ref="L291">'Manpower Projection'!$L$16</f>
        <v>51.69</v>
      </c>
      <c r="M291" s="96">
        <f>'Manpower Projection'!$M$16</f>
        <v>83.549310344827575</v>
      </c>
      <c r="N291" s="96">
        <f>IFERROR('Manpower Projection'!H291*'Manpower Projection'!L291,"")</f>
        <v>0</v>
      </c>
      <c r="O291" s="96">
        <f>IFERROR('Manpower Projection'!M291*'Manpower Projection'!H291,"")</f>
        <v>0</v>
      </c>
    </row>
    <row r="292" spans="6:15" ht="15" customHeight="1">
      <c r="F292" s="94"/>
      <c r="G292" s="95"/>
      <c r="H292" s="95"/>
      <c r="I292" s="95"/>
      <c r="J292" s="95"/>
      <c r="K292" s="95">
        <f>IFERROR('Manpower Projection'!H292*'Manpower Projection'!I292*'Manpower Projection'!J292,0)</f>
        <v>0</v>
      </c>
      <c r="L292" s="96" cm="1">
        <f t="array" ref="L292">'Manpower Projection'!$L$16</f>
        <v>51.69</v>
      </c>
      <c r="M292" s="96">
        <f>'Manpower Projection'!$M$16</f>
        <v>83.549310344827575</v>
      </c>
      <c r="N292" s="96">
        <f>IFERROR('Manpower Projection'!H292*'Manpower Projection'!L292,"")</f>
        <v>0</v>
      </c>
      <c r="O292" s="96">
        <f>IFERROR('Manpower Projection'!M292*'Manpower Projection'!H292,"")</f>
        <v>0</v>
      </c>
    </row>
    <row r="293" spans="6:15" ht="15" customHeight="1">
      <c r="F293" s="94"/>
      <c r="G293" s="95"/>
      <c r="H293" s="95"/>
      <c r="I293" s="95"/>
      <c r="J293" s="95"/>
      <c r="K293" s="95">
        <f>IFERROR('Manpower Projection'!H293*'Manpower Projection'!I293*'Manpower Projection'!J293,0)</f>
        <v>0</v>
      </c>
      <c r="L293" s="96" cm="1">
        <f t="array" ref="L293">'Manpower Projection'!$L$16</f>
        <v>51.69</v>
      </c>
      <c r="M293" s="96">
        <f>'Manpower Projection'!$M$16</f>
        <v>83.549310344827575</v>
      </c>
      <c r="N293" s="96">
        <f>IFERROR('Manpower Projection'!H293*'Manpower Projection'!L293,"")</f>
        <v>0</v>
      </c>
      <c r="O293" s="96">
        <f>IFERROR('Manpower Projection'!M293*'Manpower Projection'!H293,"")</f>
        <v>0</v>
      </c>
    </row>
    <row r="294" spans="6:15" ht="15" customHeight="1">
      <c r="F294" s="94"/>
      <c r="G294" s="95"/>
      <c r="H294" s="95"/>
      <c r="I294" s="95"/>
      <c r="J294" s="95"/>
      <c r="K294" s="95">
        <f>IFERROR('Manpower Projection'!H294*'Manpower Projection'!I294*'Manpower Projection'!J294,0)</f>
        <v>0</v>
      </c>
      <c r="L294" s="96" cm="1">
        <f t="array" ref="L294">'Manpower Projection'!$L$16</f>
        <v>51.69</v>
      </c>
      <c r="M294" s="96">
        <f>'Manpower Projection'!$M$16</f>
        <v>83.549310344827575</v>
      </c>
      <c r="N294" s="96">
        <f>IFERROR('Manpower Projection'!H294*'Manpower Projection'!L294,"")</f>
        <v>0</v>
      </c>
      <c r="O294" s="96">
        <f>IFERROR('Manpower Projection'!M294*'Manpower Projection'!H294,"")</f>
        <v>0</v>
      </c>
    </row>
    <row r="295" spans="6:15" ht="15" customHeight="1">
      <c r="F295" s="94"/>
      <c r="G295" s="95"/>
      <c r="H295" s="95"/>
      <c r="I295" s="95"/>
      <c r="J295" s="95"/>
      <c r="K295" s="95">
        <f>IFERROR('Manpower Projection'!H295*'Manpower Projection'!I295*'Manpower Projection'!J295,0)</f>
        <v>0</v>
      </c>
      <c r="L295" s="96" cm="1">
        <f t="array" ref="L295">'Manpower Projection'!$L$16</f>
        <v>51.69</v>
      </c>
      <c r="M295" s="96">
        <f>'Manpower Projection'!$M$16</f>
        <v>83.549310344827575</v>
      </c>
      <c r="N295" s="96">
        <f>IFERROR('Manpower Projection'!H295*'Manpower Projection'!L295,"")</f>
        <v>0</v>
      </c>
      <c r="O295" s="96">
        <f>IFERROR('Manpower Projection'!M295*'Manpower Projection'!H295,"")</f>
        <v>0</v>
      </c>
    </row>
    <row r="296" spans="6:15" ht="15" customHeight="1">
      <c r="F296" s="94"/>
      <c r="G296" s="95"/>
      <c r="H296" s="95"/>
      <c r="I296" s="95"/>
      <c r="J296" s="95"/>
      <c r="K296" s="95">
        <f>IFERROR('Manpower Projection'!H296*'Manpower Projection'!I296*'Manpower Projection'!J296,0)</f>
        <v>0</v>
      </c>
      <c r="L296" s="96" cm="1">
        <f t="array" ref="L296">'Manpower Projection'!$L$16</f>
        <v>51.69</v>
      </c>
      <c r="M296" s="96">
        <f>'Manpower Projection'!$M$16</f>
        <v>83.549310344827575</v>
      </c>
      <c r="N296" s="96">
        <f>IFERROR('Manpower Projection'!H296*'Manpower Projection'!L296,"")</f>
        <v>0</v>
      </c>
      <c r="O296" s="96">
        <f>IFERROR('Manpower Projection'!M296*'Manpower Projection'!H296,"")</f>
        <v>0</v>
      </c>
    </row>
    <row r="297" spans="6:15" ht="15" customHeight="1">
      <c r="F297" s="94"/>
      <c r="G297" s="95"/>
      <c r="H297" s="95"/>
      <c r="I297" s="95"/>
      <c r="J297" s="95"/>
      <c r="K297" s="95">
        <f>IFERROR('Manpower Projection'!H297*'Manpower Projection'!I297*'Manpower Projection'!J297,0)</f>
        <v>0</v>
      </c>
      <c r="L297" s="96" cm="1">
        <f t="array" ref="L297">'Manpower Projection'!$L$16</f>
        <v>51.69</v>
      </c>
      <c r="M297" s="96">
        <f>'Manpower Projection'!$M$16</f>
        <v>83.549310344827575</v>
      </c>
      <c r="N297" s="96">
        <f>IFERROR('Manpower Projection'!H297*'Manpower Projection'!L297,"")</f>
        <v>0</v>
      </c>
      <c r="O297" s="96">
        <f>IFERROR('Manpower Projection'!M297*'Manpower Projection'!H297,"")</f>
        <v>0</v>
      </c>
    </row>
    <row r="298" spans="6:15" ht="15" customHeight="1">
      <c r="F298" s="94"/>
      <c r="G298" s="95"/>
      <c r="H298" s="95"/>
      <c r="I298" s="95"/>
      <c r="J298" s="95"/>
      <c r="K298" s="95">
        <f>IFERROR('Manpower Projection'!H298*'Manpower Projection'!I298*'Manpower Projection'!J298,0)</f>
        <v>0</v>
      </c>
      <c r="L298" s="96" cm="1">
        <f t="array" ref="L298">'Manpower Projection'!$L$16</f>
        <v>51.69</v>
      </c>
      <c r="M298" s="96">
        <f>'Manpower Projection'!$M$16</f>
        <v>83.549310344827575</v>
      </c>
      <c r="N298" s="96">
        <f>IFERROR('Manpower Projection'!H298*'Manpower Projection'!L298,"")</f>
        <v>0</v>
      </c>
      <c r="O298" s="96">
        <f>IFERROR('Manpower Projection'!M298*'Manpower Projection'!H298,"")</f>
        <v>0</v>
      </c>
    </row>
    <row r="299" spans="6:15" ht="15" customHeight="1">
      <c r="F299" s="94"/>
      <c r="G299" s="95"/>
      <c r="H299" s="95"/>
      <c r="I299" s="95"/>
      <c r="J299" s="95"/>
      <c r="K299" s="95">
        <f>IFERROR('Manpower Projection'!H299*'Manpower Projection'!I299*'Manpower Projection'!J299,0)</f>
        <v>0</v>
      </c>
      <c r="L299" s="96" cm="1">
        <f t="array" ref="L299">'Manpower Projection'!$L$16</f>
        <v>51.69</v>
      </c>
      <c r="M299" s="96">
        <f>'Manpower Projection'!$M$16</f>
        <v>83.549310344827575</v>
      </c>
      <c r="N299" s="96">
        <f>IFERROR('Manpower Projection'!H299*'Manpower Projection'!L299,"")</f>
        <v>0</v>
      </c>
      <c r="O299" s="96">
        <f>IFERROR('Manpower Projection'!M299*'Manpower Projection'!H299,"")</f>
        <v>0</v>
      </c>
    </row>
    <row r="300" spans="6:15" ht="15" customHeight="1">
      <c r="F300" s="94"/>
      <c r="G300" s="95"/>
      <c r="H300" s="95"/>
      <c r="I300" s="95"/>
      <c r="J300" s="95"/>
      <c r="K300" s="95">
        <f>IFERROR('Manpower Projection'!H300*'Manpower Projection'!I300*'Manpower Projection'!J300,0)</f>
        <v>0</v>
      </c>
      <c r="L300" s="96" cm="1">
        <f t="array" ref="L300">'Manpower Projection'!$L$16</f>
        <v>51.69</v>
      </c>
      <c r="M300" s="96">
        <f>'Manpower Projection'!$M$16</f>
        <v>83.549310344827575</v>
      </c>
      <c r="N300" s="96">
        <f>IFERROR('Manpower Projection'!H300*'Manpower Projection'!L300,"")</f>
        <v>0</v>
      </c>
      <c r="O300" s="96">
        <f>IFERROR('Manpower Projection'!M300*'Manpower Projection'!H300,"")</f>
        <v>0</v>
      </c>
    </row>
    <row r="301" spans="6:15" ht="15" customHeight="1">
      <c r="F301" s="94"/>
      <c r="G301" s="95"/>
      <c r="H301" s="95"/>
      <c r="I301" s="95"/>
      <c r="J301" s="95"/>
      <c r="K301" s="95">
        <f>IFERROR('Manpower Projection'!H301*'Manpower Projection'!I301*'Manpower Projection'!J301,0)</f>
        <v>0</v>
      </c>
      <c r="L301" s="96" cm="1">
        <f t="array" ref="L301">'Manpower Projection'!$L$16</f>
        <v>51.69</v>
      </c>
      <c r="M301" s="96">
        <f>'Manpower Projection'!$M$16</f>
        <v>83.549310344827575</v>
      </c>
      <c r="N301" s="96">
        <f>IFERROR('Manpower Projection'!H301*'Manpower Projection'!L301,"")</f>
        <v>0</v>
      </c>
      <c r="O301" s="96">
        <f>IFERROR('Manpower Projection'!M301*'Manpower Projection'!H301,"")</f>
        <v>0</v>
      </c>
    </row>
    <row r="302" spans="6:15" ht="15" customHeight="1">
      <c r="F302" s="94"/>
      <c r="G302" s="95"/>
      <c r="H302" s="95"/>
      <c r="I302" s="95"/>
      <c r="J302" s="95"/>
      <c r="K302" s="95">
        <f>IFERROR('Manpower Projection'!H302*'Manpower Projection'!I302*'Manpower Projection'!J302,0)</f>
        <v>0</v>
      </c>
      <c r="L302" s="96" cm="1">
        <f t="array" ref="L302">'Manpower Projection'!$L$16</f>
        <v>51.69</v>
      </c>
      <c r="M302" s="96">
        <f>'Manpower Projection'!$M$16</f>
        <v>83.549310344827575</v>
      </c>
      <c r="N302" s="96">
        <f>IFERROR('Manpower Projection'!H302*'Manpower Projection'!L302,"")</f>
        <v>0</v>
      </c>
      <c r="O302" s="96">
        <f>IFERROR('Manpower Projection'!M302*'Manpower Projection'!H302,"")</f>
        <v>0</v>
      </c>
    </row>
    <row r="303" spans="6:15" ht="15" customHeight="1">
      <c r="F303" s="94"/>
      <c r="G303" s="95"/>
      <c r="H303" s="95"/>
      <c r="I303" s="95"/>
      <c r="J303" s="95"/>
      <c r="K303" s="95">
        <f>IFERROR('Manpower Projection'!H303*'Manpower Projection'!I303*'Manpower Projection'!J303,0)</f>
        <v>0</v>
      </c>
      <c r="L303" s="96" cm="1">
        <f t="array" ref="L303">'Manpower Projection'!$L$16</f>
        <v>51.69</v>
      </c>
      <c r="M303" s="96">
        <f>'Manpower Projection'!$M$16</f>
        <v>83.549310344827575</v>
      </c>
      <c r="N303" s="96">
        <f>IFERROR('Manpower Projection'!H303*'Manpower Projection'!L303,"")</f>
        <v>0</v>
      </c>
      <c r="O303" s="96">
        <f>IFERROR('Manpower Projection'!M303*'Manpower Projection'!H303,"")</f>
        <v>0</v>
      </c>
    </row>
    <row r="304" spans="6:15" ht="15" customHeight="1">
      <c r="F304" s="94"/>
      <c r="G304" s="95"/>
      <c r="H304" s="95"/>
      <c r="I304" s="95"/>
      <c r="J304" s="95"/>
      <c r="K304" s="95">
        <f>IFERROR('Manpower Projection'!H304*'Manpower Projection'!I304*'Manpower Projection'!J304,0)</f>
        <v>0</v>
      </c>
      <c r="L304" s="96" cm="1">
        <f t="array" ref="L304">'Manpower Projection'!$L$16</f>
        <v>51.69</v>
      </c>
      <c r="M304" s="96">
        <f>'Manpower Projection'!$M$16</f>
        <v>83.549310344827575</v>
      </c>
      <c r="N304" s="96">
        <f>IFERROR('Manpower Projection'!H304*'Manpower Projection'!L304,"")</f>
        <v>0</v>
      </c>
      <c r="O304" s="96">
        <f>IFERROR('Manpower Projection'!M304*'Manpower Projection'!H304,"")</f>
        <v>0</v>
      </c>
    </row>
    <row r="305" spans="6:15" ht="15" customHeight="1">
      <c r="F305" s="94"/>
      <c r="G305" s="95"/>
      <c r="H305" s="95"/>
      <c r="I305" s="95"/>
      <c r="J305" s="95"/>
      <c r="K305" s="95">
        <f>IFERROR('Manpower Projection'!H305*'Manpower Projection'!I305*'Manpower Projection'!J305,0)</f>
        <v>0</v>
      </c>
      <c r="L305" s="96" cm="1">
        <f t="array" ref="L305">'Manpower Projection'!$L$16</f>
        <v>51.69</v>
      </c>
      <c r="M305" s="96">
        <f>'Manpower Projection'!$M$16</f>
        <v>83.549310344827575</v>
      </c>
      <c r="N305" s="96">
        <f>IFERROR('Manpower Projection'!H305*'Manpower Projection'!L305,"")</f>
        <v>0</v>
      </c>
      <c r="O305" s="96">
        <f>IFERROR('Manpower Projection'!M305*'Manpower Projection'!H305,"")</f>
        <v>0</v>
      </c>
    </row>
    <row r="306" spans="6:15" ht="15" customHeight="1">
      <c r="F306" s="94"/>
      <c r="G306" s="95"/>
      <c r="H306" s="95"/>
      <c r="I306" s="95"/>
      <c r="J306" s="95"/>
      <c r="K306" s="95">
        <f>IFERROR('Manpower Projection'!H306*'Manpower Projection'!I306*'Manpower Projection'!J306,0)</f>
        <v>0</v>
      </c>
      <c r="L306" s="96" cm="1">
        <f t="array" ref="L306">'Manpower Projection'!$L$16</f>
        <v>51.69</v>
      </c>
      <c r="M306" s="96">
        <f>'Manpower Projection'!$M$16</f>
        <v>83.549310344827575</v>
      </c>
      <c r="N306" s="96">
        <f>IFERROR('Manpower Projection'!H306*'Manpower Projection'!L306,"")</f>
        <v>0</v>
      </c>
      <c r="O306" s="96">
        <f>IFERROR('Manpower Projection'!M306*'Manpower Projection'!H306,"")</f>
        <v>0</v>
      </c>
    </row>
    <row r="307" spans="6:15" ht="15" customHeight="1">
      <c r="F307" s="94"/>
      <c r="G307" s="95"/>
      <c r="H307" s="95"/>
      <c r="I307" s="95"/>
      <c r="J307" s="95"/>
      <c r="K307" s="95">
        <f>IFERROR('Manpower Projection'!H307*'Manpower Projection'!I307*'Manpower Projection'!J307,0)</f>
        <v>0</v>
      </c>
      <c r="L307" s="96" cm="1">
        <f t="array" ref="L307">'Manpower Projection'!$L$16</f>
        <v>51.69</v>
      </c>
      <c r="M307" s="96">
        <f>'Manpower Projection'!$M$16</f>
        <v>83.549310344827575</v>
      </c>
      <c r="N307" s="96">
        <f>IFERROR('Manpower Projection'!H307*'Manpower Projection'!L307,"")</f>
        <v>0</v>
      </c>
      <c r="O307" s="96">
        <f>IFERROR('Manpower Projection'!M307*'Manpower Projection'!H307,"")</f>
        <v>0</v>
      </c>
    </row>
    <row r="308" spans="6:15" ht="15" customHeight="1">
      <c r="F308" s="94"/>
      <c r="G308" s="95"/>
      <c r="H308" s="95"/>
      <c r="I308" s="95"/>
      <c r="J308" s="95"/>
      <c r="K308" s="95">
        <f>IFERROR('Manpower Projection'!H308*'Manpower Projection'!I308*'Manpower Projection'!J308,0)</f>
        <v>0</v>
      </c>
      <c r="L308" s="96" cm="1">
        <f t="array" ref="L308">'Manpower Projection'!$L$16</f>
        <v>51.69</v>
      </c>
      <c r="M308" s="96">
        <f>'Manpower Projection'!$M$16</f>
        <v>83.549310344827575</v>
      </c>
      <c r="N308" s="96">
        <f>IFERROR('Manpower Projection'!H308*'Manpower Projection'!L308,"")</f>
        <v>0</v>
      </c>
      <c r="O308" s="96">
        <f>IFERROR('Manpower Projection'!M308*'Manpower Projection'!H308,"")</f>
        <v>0</v>
      </c>
    </row>
    <row r="309" spans="6:15" ht="15" customHeight="1">
      <c r="F309" s="94"/>
      <c r="G309" s="95"/>
      <c r="H309" s="95"/>
      <c r="I309" s="95"/>
      <c r="J309" s="95"/>
      <c r="K309" s="95">
        <f>IFERROR('Manpower Projection'!H309*'Manpower Projection'!I309*'Manpower Projection'!J309,0)</f>
        <v>0</v>
      </c>
      <c r="L309" s="96" cm="1">
        <f t="array" ref="L309">'Manpower Projection'!$L$16</f>
        <v>51.69</v>
      </c>
      <c r="M309" s="96">
        <f>'Manpower Projection'!$M$16</f>
        <v>83.549310344827575</v>
      </c>
      <c r="N309" s="96">
        <f>IFERROR('Manpower Projection'!H309*'Manpower Projection'!L309,"")</f>
        <v>0</v>
      </c>
      <c r="O309" s="96">
        <f>IFERROR('Manpower Projection'!M309*'Manpower Projection'!H309,"")</f>
        <v>0</v>
      </c>
    </row>
    <row r="310" spans="6:15" ht="15" customHeight="1">
      <c r="F310" s="94"/>
      <c r="G310" s="95"/>
      <c r="H310" s="95"/>
      <c r="I310" s="95"/>
      <c r="J310" s="95"/>
      <c r="K310" s="95">
        <f>IFERROR('Manpower Projection'!H310*'Manpower Projection'!I310*'Manpower Projection'!J310,0)</f>
        <v>0</v>
      </c>
      <c r="L310" s="96" cm="1">
        <f t="array" ref="L310">'Manpower Projection'!$L$16</f>
        <v>51.69</v>
      </c>
      <c r="M310" s="96">
        <f>'Manpower Projection'!$M$16</f>
        <v>83.549310344827575</v>
      </c>
      <c r="N310" s="96">
        <f>IFERROR('Manpower Projection'!H310*'Manpower Projection'!L310,"")</f>
        <v>0</v>
      </c>
      <c r="O310" s="96">
        <f>IFERROR('Manpower Projection'!M310*'Manpower Projection'!H310,"")</f>
        <v>0</v>
      </c>
    </row>
    <row r="311" spans="6:15" ht="15" customHeight="1">
      <c r="F311" s="94"/>
      <c r="G311" s="95"/>
      <c r="H311" s="95"/>
      <c r="I311" s="95"/>
      <c r="J311" s="95"/>
      <c r="K311" s="95">
        <f>IFERROR('Manpower Projection'!H311*'Manpower Projection'!I311*'Manpower Projection'!J311,0)</f>
        <v>0</v>
      </c>
      <c r="L311" s="96" cm="1">
        <f t="array" ref="L311">'Manpower Projection'!$L$16</f>
        <v>51.69</v>
      </c>
      <c r="M311" s="96">
        <f>'Manpower Projection'!$M$16</f>
        <v>83.549310344827575</v>
      </c>
      <c r="N311" s="96">
        <f>IFERROR('Manpower Projection'!H311*'Manpower Projection'!L311,"")</f>
        <v>0</v>
      </c>
      <c r="O311" s="96">
        <f>IFERROR('Manpower Projection'!M311*'Manpower Projection'!H311,"")</f>
        <v>0</v>
      </c>
    </row>
    <row r="312" spans="6:15" ht="15" customHeight="1">
      <c r="F312" s="94"/>
      <c r="G312" s="95"/>
      <c r="H312" s="95"/>
      <c r="I312" s="95"/>
      <c r="J312" s="95"/>
      <c r="K312" s="95">
        <f>IFERROR('Manpower Projection'!H312*'Manpower Projection'!I312*'Manpower Projection'!J312,0)</f>
        <v>0</v>
      </c>
      <c r="L312" s="96" cm="1">
        <f t="array" ref="L312">'Manpower Projection'!$L$16</f>
        <v>51.69</v>
      </c>
      <c r="M312" s="96">
        <f>'Manpower Projection'!$M$16</f>
        <v>83.549310344827575</v>
      </c>
      <c r="N312" s="96">
        <f>IFERROR('Manpower Projection'!H312*'Manpower Projection'!L312,"")</f>
        <v>0</v>
      </c>
      <c r="O312" s="96">
        <f>IFERROR('Manpower Projection'!M312*'Manpower Projection'!H312,"")</f>
        <v>0</v>
      </c>
    </row>
    <row r="313" spans="6:15" ht="15" customHeight="1">
      <c r="F313" s="94"/>
      <c r="G313" s="95"/>
      <c r="H313" s="95"/>
      <c r="I313" s="95"/>
      <c r="J313" s="95"/>
      <c r="K313" s="95">
        <f>IFERROR('Manpower Projection'!H313*'Manpower Projection'!I313*'Manpower Projection'!J313,0)</f>
        <v>0</v>
      </c>
      <c r="L313" s="96" cm="1">
        <f t="array" ref="L313">'Manpower Projection'!$L$16</f>
        <v>51.69</v>
      </c>
      <c r="M313" s="96">
        <f>'Manpower Projection'!$M$16</f>
        <v>83.549310344827575</v>
      </c>
      <c r="N313" s="96">
        <f>IFERROR('Manpower Projection'!H313*'Manpower Projection'!L313,"")</f>
        <v>0</v>
      </c>
      <c r="O313" s="96">
        <f>IFERROR('Manpower Projection'!M313*'Manpower Projection'!H313,"")</f>
        <v>0</v>
      </c>
    </row>
    <row r="314" spans="6:15" ht="15" customHeight="1">
      <c r="F314" s="94"/>
      <c r="G314" s="95"/>
      <c r="H314" s="95"/>
      <c r="I314" s="95"/>
      <c r="J314" s="95"/>
      <c r="K314" s="95">
        <f>IFERROR('Manpower Projection'!H314*'Manpower Projection'!I314*'Manpower Projection'!J314,0)</f>
        <v>0</v>
      </c>
      <c r="L314" s="96" cm="1">
        <f t="array" ref="L314">'Manpower Projection'!$L$16</f>
        <v>51.69</v>
      </c>
      <c r="M314" s="96">
        <f>'Manpower Projection'!$M$16</f>
        <v>83.549310344827575</v>
      </c>
      <c r="N314" s="96">
        <f>IFERROR('Manpower Projection'!H314*'Manpower Projection'!L314,"")</f>
        <v>0</v>
      </c>
      <c r="O314" s="96">
        <f>IFERROR('Manpower Projection'!M314*'Manpower Projection'!H314,"")</f>
        <v>0</v>
      </c>
    </row>
    <row r="315" spans="6:15" ht="15" customHeight="1">
      <c r="F315" s="94"/>
      <c r="G315" s="95"/>
      <c r="H315" s="95"/>
      <c r="I315" s="95"/>
      <c r="J315" s="95"/>
      <c r="K315" s="95">
        <f>IFERROR('Manpower Projection'!H315*'Manpower Projection'!I315*'Manpower Projection'!J315,0)</f>
        <v>0</v>
      </c>
      <c r="L315" s="96" cm="1">
        <f t="array" ref="L315">'Manpower Projection'!$L$16</f>
        <v>51.69</v>
      </c>
      <c r="M315" s="96">
        <f>'Manpower Projection'!$M$16</f>
        <v>83.549310344827575</v>
      </c>
      <c r="N315" s="96">
        <f>IFERROR('Manpower Projection'!H315*'Manpower Projection'!L315,"")</f>
        <v>0</v>
      </c>
      <c r="O315" s="96">
        <f>IFERROR('Manpower Projection'!M315*'Manpower Projection'!H315,"")</f>
        <v>0</v>
      </c>
    </row>
    <row r="316" spans="6:15" ht="15" customHeight="1">
      <c r="F316" s="94"/>
      <c r="G316" s="95"/>
      <c r="H316" s="95"/>
      <c r="I316" s="95"/>
      <c r="J316" s="95"/>
      <c r="K316" s="95">
        <f>IFERROR('Manpower Projection'!H316*'Manpower Projection'!I316*'Manpower Projection'!J316,0)</f>
        <v>0</v>
      </c>
      <c r="L316" s="96" cm="1">
        <f t="array" ref="L316">'Manpower Projection'!$L$16</f>
        <v>51.69</v>
      </c>
      <c r="M316" s="96">
        <f>'Manpower Projection'!$M$16</f>
        <v>83.549310344827575</v>
      </c>
      <c r="N316" s="96">
        <f>IFERROR('Manpower Projection'!H316*'Manpower Projection'!L316,"")</f>
        <v>0</v>
      </c>
      <c r="O316" s="96">
        <f>IFERROR('Manpower Projection'!M316*'Manpower Projection'!H316,"")</f>
        <v>0</v>
      </c>
    </row>
    <row r="317" spans="6:15" ht="15" customHeight="1">
      <c r="F317" s="94"/>
      <c r="G317" s="95"/>
      <c r="H317" s="95"/>
      <c r="I317" s="95"/>
      <c r="J317" s="95"/>
      <c r="K317" s="95">
        <f>IFERROR('Manpower Projection'!H317*'Manpower Projection'!I317*'Manpower Projection'!J317,0)</f>
        <v>0</v>
      </c>
      <c r="L317" s="96" cm="1">
        <f t="array" ref="L317">'Manpower Projection'!$L$16</f>
        <v>51.69</v>
      </c>
      <c r="M317" s="96">
        <f>'Manpower Projection'!$M$16</f>
        <v>83.549310344827575</v>
      </c>
      <c r="N317" s="96">
        <f>IFERROR('Manpower Projection'!H317*'Manpower Projection'!L317,"")</f>
        <v>0</v>
      </c>
      <c r="O317" s="96">
        <f>IFERROR('Manpower Projection'!M317*'Manpower Projection'!H317,"")</f>
        <v>0</v>
      </c>
    </row>
    <row r="318" spans="6:15" ht="15" customHeight="1">
      <c r="F318" s="94"/>
      <c r="G318" s="95"/>
      <c r="H318" s="95"/>
      <c r="I318" s="95"/>
      <c r="J318" s="95"/>
      <c r="K318" s="95">
        <f>IFERROR('Manpower Projection'!H318*'Manpower Projection'!I318*'Manpower Projection'!J318,0)</f>
        <v>0</v>
      </c>
      <c r="L318" s="96" cm="1">
        <f t="array" ref="L318">'Manpower Projection'!$L$16</f>
        <v>51.69</v>
      </c>
      <c r="M318" s="96">
        <f>'Manpower Projection'!$M$16</f>
        <v>83.549310344827575</v>
      </c>
      <c r="N318" s="96">
        <f>IFERROR('Manpower Projection'!H318*'Manpower Projection'!L318,"")</f>
        <v>0</v>
      </c>
      <c r="O318" s="96">
        <f>IFERROR('Manpower Projection'!M318*'Manpower Projection'!H318,"")</f>
        <v>0</v>
      </c>
    </row>
    <row r="319" spans="6:15" ht="15" customHeight="1">
      <c r="F319" s="94"/>
      <c r="G319" s="95"/>
      <c r="H319" s="95"/>
      <c r="I319" s="95"/>
      <c r="J319" s="95"/>
      <c r="K319" s="95">
        <f>IFERROR('Manpower Projection'!H319*'Manpower Projection'!I319*'Manpower Projection'!J319,0)</f>
        <v>0</v>
      </c>
      <c r="L319" s="96" cm="1">
        <f t="array" ref="L319">'Manpower Projection'!$L$16</f>
        <v>51.69</v>
      </c>
      <c r="M319" s="96">
        <f>'Manpower Projection'!$M$16</f>
        <v>83.549310344827575</v>
      </c>
      <c r="N319" s="96">
        <f>IFERROR('Manpower Projection'!H319*'Manpower Projection'!L319,"")</f>
        <v>0</v>
      </c>
      <c r="O319" s="96">
        <f>IFERROR('Manpower Projection'!M319*'Manpower Projection'!H319,"")</f>
        <v>0</v>
      </c>
    </row>
    <row r="320" spans="6:15" ht="15" customHeight="1">
      <c r="F320" s="94"/>
      <c r="G320" s="95"/>
      <c r="H320" s="95"/>
      <c r="I320" s="95"/>
      <c r="J320" s="95"/>
      <c r="K320" s="95">
        <f>IFERROR('Manpower Projection'!H320*'Manpower Projection'!I320*'Manpower Projection'!J320,0)</f>
        <v>0</v>
      </c>
      <c r="L320" s="96" cm="1">
        <f t="array" ref="L320">'Manpower Projection'!$L$16</f>
        <v>51.69</v>
      </c>
      <c r="M320" s="96">
        <f>'Manpower Projection'!$M$16</f>
        <v>83.549310344827575</v>
      </c>
      <c r="N320" s="96">
        <f>IFERROR('Manpower Projection'!H320*'Manpower Projection'!L320,"")</f>
        <v>0</v>
      </c>
      <c r="O320" s="96">
        <f>IFERROR('Manpower Projection'!M320*'Manpower Projection'!H320,"")</f>
        <v>0</v>
      </c>
    </row>
    <row r="321" spans="6:15" ht="15" customHeight="1">
      <c r="F321" s="94"/>
      <c r="G321" s="95"/>
      <c r="H321" s="95"/>
      <c r="I321" s="95"/>
      <c r="J321" s="95"/>
      <c r="K321" s="95">
        <f>IFERROR('Manpower Projection'!H321*'Manpower Projection'!I321*'Manpower Projection'!J321,0)</f>
        <v>0</v>
      </c>
      <c r="L321" s="96" cm="1">
        <f t="array" ref="L321">'Manpower Projection'!$L$16</f>
        <v>51.69</v>
      </c>
      <c r="M321" s="96">
        <f>'Manpower Projection'!$M$16</f>
        <v>83.549310344827575</v>
      </c>
      <c r="N321" s="96">
        <f>IFERROR('Manpower Projection'!H321*'Manpower Projection'!L321,"")</f>
        <v>0</v>
      </c>
      <c r="O321" s="96">
        <f>IFERROR('Manpower Projection'!M321*'Manpower Projection'!H321,"")</f>
        <v>0</v>
      </c>
    </row>
    <row r="322" spans="6:15" ht="15" customHeight="1">
      <c r="F322" s="94"/>
      <c r="G322" s="95"/>
      <c r="H322" s="95"/>
      <c r="I322" s="95"/>
      <c r="J322" s="95"/>
      <c r="K322" s="95">
        <f>IFERROR('Manpower Projection'!H322*'Manpower Projection'!I322*'Manpower Projection'!J322,0)</f>
        <v>0</v>
      </c>
      <c r="L322" s="96" cm="1">
        <f t="array" ref="L322">'Manpower Projection'!$L$16</f>
        <v>51.69</v>
      </c>
      <c r="M322" s="96">
        <f>'Manpower Projection'!$M$16</f>
        <v>83.549310344827575</v>
      </c>
      <c r="N322" s="96">
        <f>IFERROR('Manpower Projection'!H322*'Manpower Projection'!L322,"")</f>
        <v>0</v>
      </c>
      <c r="O322" s="96">
        <f>IFERROR('Manpower Projection'!M322*'Manpower Projection'!H322,"")</f>
        <v>0</v>
      </c>
    </row>
    <row r="323" spans="6:15" ht="15" customHeight="1">
      <c r="F323" s="94"/>
      <c r="G323" s="95"/>
      <c r="H323" s="95"/>
      <c r="I323" s="95"/>
      <c r="J323" s="95"/>
      <c r="K323" s="95">
        <f>IFERROR('Manpower Projection'!H323*'Manpower Projection'!I323*'Manpower Projection'!J323,0)</f>
        <v>0</v>
      </c>
      <c r="L323" s="96" cm="1">
        <f t="array" ref="L323">'Manpower Projection'!$L$16</f>
        <v>51.69</v>
      </c>
      <c r="M323" s="96">
        <f>'Manpower Projection'!$M$16</f>
        <v>83.549310344827575</v>
      </c>
      <c r="N323" s="96">
        <f>IFERROR('Manpower Projection'!H323*'Manpower Projection'!L323,"")</f>
        <v>0</v>
      </c>
      <c r="O323" s="96">
        <f>IFERROR('Manpower Projection'!M323*'Manpower Projection'!H323,"")</f>
        <v>0</v>
      </c>
    </row>
    <row r="324" spans="6:15" ht="15" customHeight="1">
      <c r="F324" s="94"/>
      <c r="G324" s="95"/>
      <c r="H324" s="95"/>
      <c r="I324" s="95"/>
      <c r="J324" s="95"/>
      <c r="K324" s="95">
        <f>IFERROR('Manpower Projection'!H324*'Manpower Projection'!I324*'Manpower Projection'!J324,0)</f>
        <v>0</v>
      </c>
      <c r="L324" s="96" cm="1">
        <f t="array" ref="L324">'Manpower Projection'!$L$16</f>
        <v>51.69</v>
      </c>
      <c r="M324" s="96">
        <f>'Manpower Projection'!$M$16</f>
        <v>83.549310344827575</v>
      </c>
      <c r="N324" s="96">
        <f>IFERROR('Manpower Projection'!H324*'Manpower Projection'!L324,"")</f>
        <v>0</v>
      </c>
      <c r="O324" s="96">
        <f>IFERROR('Manpower Projection'!M324*'Manpower Projection'!H324,"")</f>
        <v>0</v>
      </c>
    </row>
    <row r="325" spans="6:15" ht="15" customHeight="1">
      <c r="F325" s="94"/>
      <c r="G325" s="95"/>
      <c r="H325" s="95"/>
      <c r="I325" s="95"/>
      <c r="J325" s="95"/>
      <c r="K325" s="95">
        <f>IFERROR('Manpower Projection'!H325*'Manpower Projection'!I325*'Manpower Projection'!J325,0)</f>
        <v>0</v>
      </c>
      <c r="L325" s="96" cm="1">
        <f t="array" ref="L325">'Manpower Projection'!$L$16</f>
        <v>51.69</v>
      </c>
      <c r="M325" s="96">
        <f>'Manpower Projection'!$M$16</f>
        <v>83.549310344827575</v>
      </c>
      <c r="N325" s="96">
        <f>IFERROR('Manpower Projection'!H325*'Manpower Projection'!L325,"")</f>
        <v>0</v>
      </c>
      <c r="O325" s="96">
        <f>IFERROR('Manpower Projection'!M325*'Manpower Projection'!H325,"")</f>
        <v>0</v>
      </c>
    </row>
    <row r="326" spans="6:15" ht="15" customHeight="1">
      <c r="F326" s="94"/>
      <c r="G326" s="95"/>
      <c r="H326" s="95"/>
      <c r="I326" s="95"/>
      <c r="J326" s="95"/>
      <c r="K326" s="95">
        <f>IFERROR('Manpower Projection'!H326*'Manpower Projection'!I326*'Manpower Projection'!J326,0)</f>
        <v>0</v>
      </c>
      <c r="L326" s="96" cm="1">
        <f t="array" ref="L326">'Manpower Projection'!$L$16</f>
        <v>51.69</v>
      </c>
      <c r="M326" s="96">
        <f>'Manpower Projection'!$M$16</f>
        <v>83.549310344827575</v>
      </c>
      <c r="N326" s="96">
        <f>IFERROR('Manpower Projection'!H326*'Manpower Projection'!L326,"")</f>
        <v>0</v>
      </c>
      <c r="O326" s="96">
        <f>IFERROR('Manpower Projection'!M326*'Manpower Projection'!H326,"")</f>
        <v>0</v>
      </c>
    </row>
    <row r="327" spans="6:15" ht="15" customHeight="1">
      <c r="F327" s="94"/>
      <c r="G327" s="95"/>
      <c r="H327" s="95"/>
      <c r="I327" s="95"/>
      <c r="J327" s="95"/>
      <c r="K327" s="95">
        <f>IFERROR('Manpower Projection'!H327*'Manpower Projection'!I327*'Manpower Projection'!J327,0)</f>
        <v>0</v>
      </c>
      <c r="L327" s="96" cm="1">
        <f t="array" ref="L327">'Manpower Projection'!$L$16</f>
        <v>51.69</v>
      </c>
      <c r="M327" s="96">
        <f>'Manpower Projection'!$M$16</f>
        <v>83.549310344827575</v>
      </c>
      <c r="N327" s="96">
        <f>IFERROR('Manpower Projection'!H327*'Manpower Projection'!L327,"")</f>
        <v>0</v>
      </c>
      <c r="O327" s="96">
        <f>IFERROR('Manpower Projection'!M327*'Manpower Projection'!H327,"")</f>
        <v>0</v>
      </c>
    </row>
    <row r="328" spans="6:15" ht="15" customHeight="1">
      <c r="F328" s="94"/>
      <c r="G328" s="95"/>
      <c r="H328" s="95"/>
      <c r="I328" s="95"/>
      <c r="J328" s="95"/>
      <c r="K328" s="95">
        <f>IFERROR('Manpower Projection'!H328*'Manpower Projection'!I328*'Manpower Projection'!J328,0)</f>
        <v>0</v>
      </c>
      <c r="L328" s="96" cm="1">
        <f t="array" ref="L328">'Manpower Projection'!$L$16</f>
        <v>51.69</v>
      </c>
      <c r="M328" s="96">
        <f>'Manpower Projection'!$M$16</f>
        <v>83.549310344827575</v>
      </c>
      <c r="N328" s="96">
        <f>IFERROR('Manpower Projection'!H328*'Manpower Projection'!L328,"")</f>
        <v>0</v>
      </c>
      <c r="O328" s="96">
        <f>IFERROR('Manpower Projection'!M328*'Manpower Projection'!H328,"")</f>
        <v>0</v>
      </c>
    </row>
    <row r="329" spans="6:15" ht="15" customHeight="1">
      <c r="F329" s="94"/>
      <c r="G329" s="95"/>
      <c r="H329" s="95"/>
      <c r="I329" s="95"/>
      <c r="J329" s="95"/>
      <c r="K329" s="95">
        <f>IFERROR('Manpower Projection'!H329*'Manpower Projection'!I329*'Manpower Projection'!J329,0)</f>
        <v>0</v>
      </c>
      <c r="L329" s="96" cm="1">
        <f t="array" ref="L329">'Manpower Projection'!$L$16</f>
        <v>51.69</v>
      </c>
      <c r="M329" s="96">
        <f>'Manpower Projection'!$M$16</f>
        <v>83.549310344827575</v>
      </c>
      <c r="N329" s="96">
        <f>IFERROR('Manpower Projection'!H329*'Manpower Projection'!L329,"")</f>
        <v>0</v>
      </c>
      <c r="O329" s="96">
        <f>IFERROR('Manpower Projection'!M329*'Manpower Projection'!H329,"")</f>
        <v>0</v>
      </c>
    </row>
    <row r="330" spans="6:15" ht="15" customHeight="1">
      <c r="F330" s="94"/>
      <c r="G330" s="95"/>
      <c r="H330" s="95"/>
      <c r="I330" s="95"/>
      <c r="J330" s="95"/>
      <c r="K330" s="95">
        <f>IFERROR('Manpower Projection'!H330*'Manpower Projection'!I330*'Manpower Projection'!J330,0)</f>
        <v>0</v>
      </c>
      <c r="L330" s="96" cm="1">
        <f t="array" ref="L330">'Manpower Projection'!$L$16</f>
        <v>51.69</v>
      </c>
      <c r="M330" s="96">
        <f>'Manpower Projection'!$M$16</f>
        <v>83.549310344827575</v>
      </c>
      <c r="N330" s="96">
        <f>IFERROR('Manpower Projection'!H330*'Manpower Projection'!L330,"")</f>
        <v>0</v>
      </c>
      <c r="O330" s="96">
        <f>IFERROR('Manpower Projection'!M330*'Manpower Projection'!H330,"")</f>
        <v>0</v>
      </c>
    </row>
    <row r="331" spans="6:15" ht="15" customHeight="1">
      <c r="F331" s="94"/>
      <c r="G331" s="95"/>
      <c r="H331" s="95"/>
      <c r="I331" s="95"/>
      <c r="J331" s="95"/>
      <c r="K331" s="95">
        <f>IFERROR('Manpower Projection'!H331*'Manpower Projection'!I331*'Manpower Projection'!J331,0)</f>
        <v>0</v>
      </c>
      <c r="L331" s="96" cm="1">
        <f t="array" ref="L331">'Manpower Projection'!$L$16</f>
        <v>51.69</v>
      </c>
      <c r="M331" s="96">
        <f>'Manpower Projection'!$M$16</f>
        <v>83.549310344827575</v>
      </c>
      <c r="N331" s="96">
        <f>IFERROR('Manpower Projection'!H331*'Manpower Projection'!L331,"")</f>
        <v>0</v>
      </c>
      <c r="O331" s="96">
        <f>IFERROR('Manpower Projection'!M331*'Manpower Projection'!H331,"")</f>
        <v>0</v>
      </c>
    </row>
    <row r="332" spans="6:15" ht="15" customHeight="1">
      <c r="F332" s="94"/>
      <c r="G332" s="95"/>
      <c r="H332" s="95"/>
      <c r="I332" s="95"/>
      <c r="J332" s="95"/>
      <c r="K332" s="95">
        <f>IFERROR('Manpower Projection'!H332*'Manpower Projection'!I332*'Manpower Projection'!J332,0)</f>
        <v>0</v>
      </c>
      <c r="L332" s="96" cm="1">
        <f t="array" ref="L332">'Manpower Projection'!$L$16</f>
        <v>51.69</v>
      </c>
      <c r="M332" s="96">
        <f>'Manpower Projection'!$M$16</f>
        <v>83.549310344827575</v>
      </c>
      <c r="N332" s="96">
        <f>IFERROR('Manpower Projection'!H332*'Manpower Projection'!L332,"")</f>
        <v>0</v>
      </c>
      <c r="O332" s="96">
        <f>IFERROR('Manpower Projection'!M332*'Manpower Projection'!H332,"")</f>
        <v>0</v>
      </c>
    </row>
    <row r="333" spans="6:15" ht="15" customHeight="1">
      <c r="F333" s="94"/>
      <c r="G333" s="95"/>
      <c r="H333" s="95"/>
      <c r="I333" s="95"/>
      <c r="J333" s="95"/>
      <c r="K333" s="95">
        <f>IFERROR('Manpower Projection'!H333*'Manpower Projection'!I333*'Manpower Projection'!J333,0)</f>
        <v>0</v>
      </c>
      <c r="L333" s="96" cm="1">
        <f t="array" ref="L333">'Manpower Projection'!$L$16</f>
        <v>51.69</v>
      </c>
      <c r="M333" s="96">
        <f>'Manpower Projection'!$M$16</f>
        <v>83.549310344827575</v>
      </c>
      <c r="N333" s="96">
        <f>IFERROR('Manpower Projection'!H333*'Manpower Projection'!L333,"")</f>
        <v>0</v>
      </c>
      <c r="O333" s="96">
        <f>IFERROR('Manpower Projection'!M333*'Manpower Projection'!H333,"")</f>
        <v>0</v>
      </c>
    </row>
    <row r="334" spans="6:15" ht="15" customHeight="1">
      <c r="F334" s="94"/>
      <c r="G334" s="95"/>
      <c r="H334" s="95"/>
      <c r="I334" s="95"/>
      <c r="J334" s="95"/>
      <c r="K334" s="95">
        <f>IFERROR('Manpower Projection'!H334*'Manpower Projection'!I334*'Manpower Projection'!J334,0)</f>
        <v>0</v>
      </c>
      <c r="L334" s="96" cm="1">
        <f t="array" ref="L334">'Manpower Projection'!$L$16</f>
        <v>51.69</v>
      </c>
      <c r="M334" s="96">
        <f>'Manpower Projection'!$M$16</f>
        <v>83.549310344827575</v>
      </c>
      <c r="N334" s="96">
        <f>IFERROR('Manpower Projection'!H334*'Manpower Projection'!L334,"")</f>
        <v>0</v>
      </c>
      <c r="O334" s="96">
        <f>IFERROR('Manpower Projection'!M334*'Manpower Projection'!H334,"")</f>
        <v>0</v>
      </c>
    </row>
    <row r="335" spans="6:15" ht="15" customHeight="1">
      <c r="F335" s="94"/>
      <c r="G335" s="95"/>
      <c r="H335" s="95"/>
      <c r="I335" s="95"/>
      <c r="J335" s="95"/>
      <c r="K335" s="95">
        <f>IFERROR('Manpower Projection'!H335*'Manpower Projection'!I335*'Manpower Projection'!J335,0)</f>
        <v>0</v>
      </c>
      <c r="L335" s="96" cm="1">
        <f t="array" ref="L335">'Manpower Projection'!$L$16</f>
        <v>51.69</v>
      </c>
      <c r="M335" s="96">
        <f>'Manpower Projection'!$M$16</f>
        <v>83.549310344827575</v>
      </c>
      <c r="N335" s="96">
        <f>IFERROR('Manpower Projection'!H335*'Manpower Projection'!L335,"")</f>
        <v>0</v>
      </c>
      <c r="O335" s="96">
        <f>IFERROR('Manpower Projection'!M335*'Manpower Projection'!H335,"")</f>
        <v>0</v>
      </c>
    </row>
    <row r="336" spans="6:15" ht="15" customHeight="1">
      <c r="F336" s="94"/>
      <c r="G336" s="95"/>
      <c r="H336" s="95"/>
      <c r="I336" s="95"/>
      <c r="J336" s="95"/>
      <c r="K336" s="95">
        <f>IFERROR('Manpower Projection'!H336*'Manpower Projection'!I336*'Manpower Projection'!J336,0)</f>
        <v>0</v>
      </c>
      <c r="L336" s="96" cm="1">
        <f t="array" ref="L336">'Manpower Projection'!$L$16</f>
        <v>51.69</v>
      </c>
      <c r="M336" s="96">
        <f>'Manpower Projection'!$M$16</f>
        <v>83.549310344827575</v>
      </c>
      <c r="N336" s="96">
        <f>IFERROR('Manpower Projection'!H336*'Manpower Projection'!L336,"")</f>
        <v>0</v>
      </c>
      <c r="O336" s="96">
        <f>IFERROR('Manpower Projection'!M336*'Manpower Projection'!H336,"")</f>
        <v>0</v>
      </c>
    </row>
    <row r="337" spans="6:15" ht="15" customHeight="1">
      <c r="F337" s="94"/>
      <c r="G337" s="95"/>
      <c r="H337" s="95"/>
      <c r="I337" s="95"/>
      <c r="J337" s="95"/>
      <c r="K337" s="95">
        <f>IFERROR('Manpower Projection'!H337*'Manpower Projection'!I337*'Manpower Projection'!J337,0)</f>
        <v>0</v>
      </c>
      <c r="L337" s="96" cm="1">
        <f t="array" ref="L337">'Manpower Projection'!$L$16</f>
        <v>51.69</v>
      </c>
      <c r="M337" s="96">
        <f>'Manpower Projection'!$M$16</f>
        <v>83.549310344827575</v>
      </c>
      <c r="N337" s="96">
        <f>IFERROR('Manpower Projection'!H337*'Manpower Projection'!L337,"")</f>
        <v>0</v>
      </c>
      <c r="O337" s="96">
        <f>IFERROR('Manpower Projection'!M337*'Manpower Projection'!H337,"")</f>
        <v>0</v>
      </c>
    </row>
    <row r="338" spans="6:15" ht="15" customHeight="1">
      <c r="F338" s="94"/>
      <c r="G338" s="95"/>
      <c r="H338" s="95"/>
      <c r="I338" s="95"/>
      <c r="J338" s="95"/>
      <c r="K338" s="95">
        <f>IFERROR('Manpower Projection'!H338*'Manpower Projection'!I338*'Manpower Projection'!J338,0)</f>
        <v>0</v>
      </c>
      <c r="L338" s="96" cm="1">
        <f t="array" ref="L338">'Manpower Projection'!$L$16</f>
        <v>51.69</v>
      </c>
      <c r="M338" s="96">
        <f>'Manpower Projection'!$M$16</f>
        <v>83.549310344827575</v>
      </c>
      <c r="N338" s="96">
        <f>IFERROR('Manpower Projection'!H338*'Manpower Projection'!L338,"")</f>
        <v>0</v>
      </c>
      <c r="O338" s="96">
        <f>IFERROR('Manpower Projection'!M338*'Manpower Projection'!H338,"")</f>
        <v>0</v>
      </c>
    </row>
    <row r="339" spans="6:15" ht="15" customHeight="1">
      <c r="F339" s="94"/>
      <c r="G339" s="95"/>
      <c r="H339" s="95"/>
      <c r="I339" s="95"/>
      <c r="J339" s="95"/>
      <c r="K339" s="95">
        <f>IFERROR('Manpower Projection'!H339*'Manpower Projection'!I339*'Manpower Projection'!J339,0)</f>
        <v>0</v>
      </c>
      <c r="L339" s="96" cm="1">
        <f t="array" ref="L339">'Manpower Projection'!$L$16</f>
        <v>51.69</v>
      </c>
      <c r="M339" s="96">
        <f>'Manpower Projection'!$M$16</f>
        <v>83.549310344827575</v>
      </c>
      <c r="N339" s="96">
        <f>IFERROR('Manpower Projection'!H339*'Manpower Projection'!L339,"")</f>
        <v>0</v>
      </c>
      <c r="O339" s="96">
        <f>IFERROR('Manpower Projection'!M339*'Manpower Projection'!H339,"")</f>
        <v>0</v>
      </c>
    </row>
    <row r="340" spans="6:15" ht="15" customHeight="1">
      <c r="F340" s="94"/>
      <c r="G340" s="95"/>
      <c r="H340" s="95"/>
      <c r="I340" s="95"/>
      <c r="J340" s="95"/>
      <c r="K340" s="95">
        <f>IFERROR('Manpower Projection'!H340*'Manpower Projection'!I340*'Manpower Projection'!J340,0)</f>
        <v>0</v>
      </c>
      <c r="L340" s="96" cm="1">
        <f t="array" ref="L340">'Manpower Projection'!$L$16</f>
        <v>51.69</v>
      </c>
      <c r="M340" s="96">
        <f>'Manpower Projection'!$M$16</f>
        <v>83.549310344827575</v>
      </c>
      <c r="N340" s="96">
        <f>IFERROR('Manpower Projection'!H340*'Manpower Projection'!L340,"")</f>
        <v>0</v>
      </c>
      <c r="O340" s="96">
        <f>IFERROR('Manpower Projection'!M340*'Manpower Projection'!H340,"")</f>
        <v>0</v>
      </c>
    </row>
    <row r="341" spans="6:15" ht="15" customHeight="1">
      <c r="F341" s="94"/>
      <c r="G341" s="95"/>
      <c r="H341" s="95"/>
      <c r="I341" s="95"/>
      <c r="J341" s="95"/>
      <c r="K341" s="95">
        <f>IFERROR('Manpower Projection'!H341*'Manpower Projection'!I341*'Manpower Projection'!J341,0)</f>
        <v>0</v>
      </c>
      <c r="L341" s="96" cm="1">
        <f t="array" ref="L341">'Manpower Projection'!$L$16</f>
        <v>51.69</v>
      </c>
      <c r="M341" s="96">
        <f>'Manpower Projection'!$M$16</f>
        <v>83.549310344827575</v>
      </c>
      <c r="N341" s="96">
        <f>IFERROR('Manpower Projection'!H341*'Manpower Projection'!L341,"")</f>
        <v>0</v>
      </c>
      <c r="O341" s="96">
        <f>IFERROR('Manpower Projection'!M341*'Manpower Projection'!H341,"")</f>
        <v>0</v>
      </c>
    </row>
    <row r="342" spans="6:15" ht="15" customHeight="1">
      <c r="F342" s="94"/>
      <c r="G342" s="95"/>
      <c r="H342" s="95"/>
      <c r="I342" s="95"/>
      <c r="J342" s="95"/>
      <c r="K342" s="95">
        <f>IFERROR('Manpower Projection'!H342*'Manpower Projection'!I342*'Manpower Projection'!J342,0)</f>
        <v>0</v>
      </c>
      <c r="L342" s="96" cm="1">
        <f t="array" ref="L342">'Manpower Projection'!$L$16</f>
        <v>51.69</v>
      </c>
      <c r="M342" s="96">
        <f>'Manpower Projection'!$M$16</f>
        <v>83.549310344827575</v>
      </c>
      <c r="N342" s="96">
        <f>IFERROR('Manpower Projection'!H342*'Manpower Projection'!L342,"")</f>
        <v>0</v>
      </c>
      <c r="O342" s="96">
        <f>IFERROR('Manpower Projection'!M342*'Manpower Projection'!H342,"")</f>
        <v>0</v>
      </c>
    </row>
    <row r="343" spans="6:15" ht="15" customHeight="1">
      <c r="F343" s="94"/>
      <c r="G343" s="95"/>
      <c r="H343" s="95"/>
      <c r="I343" s="95"/>
      <c r="J343" s="95"/>
      <c r="K343" s="95">
        <f>IFERROR('Manpower Projection'!H343*'Manpower Projection'!I343*'Manpower Projection'!J343,0)</f>
        <v>0</v>
      </c>
      <c r="L343" s="96" cm="1">
        <f t="array" ref="L343">'Manpower Projection'!$L$16</f>
        <v>51.69</v>
      </c>
      <c r="M343" s="96">
        <f>'Manpower Projection'!$M$16</f>
        <v>83.549310344827575</v>
      </c>
      <c r="N343" s="96">
        <f>IFERROR('Manpower Projection'!H343*'Manpower Projection'!L343,"")</f>
        <v>0</v>
      </c>
      <c r="O343" s="96">
        <f>IFERROR('Manpower Projection'!M343*'Manpower Projection'!H343,"")</f>
        <v>0</v>
      </c>
    </row>
    <row r="344" spans="6:15" ht="15" customHeight="1">
      <c r="F344" s="94"/>
      <c r="G344" s="95"/>
      <c r="H344" s="95"/>
      <c r="I344" s="95"/>
      <c r="J344" s="95"/>
      <c r="K344" s="95">
        <f>IFERROR('Manpower Projection'!H344*'Manpower Projection'!I344*'Manpower Projection'!J344,0)</f>
        <v>0</v>
      </c>
      <c r="L344" s="96" cm="1">
        <f t="array" ref="L344">'Manpower Projection'!$L$16</f>
        <v>51.69</v>
      </c>
      <c r="M344" s="96">
        <f>'Manpower Projection'!$M$16</f>
        <v>83.549310344827575</v>
      </c>
      <c r="N344" s="96">
        <f>IFERROR('Manpower Projection'!H344*'Manpower Projection'!L344,"")</f>
        <v>0</v>
      </c>
      <c r="O344" s="96">
        <f>IFERROR('Manpower Projection'!M344*'Manpower Projection'!H344,"")</f>
        <v>0</v>
      </c>
    </row>
    <row r="345" spans="6:15" ht="15" customHeight="1">
      <c r="F345" s="94"/>
      <c r="G345" s="95"/>
      <c r="H345" s="95"/>
      <c r="I345" s="95"/>
      <c r="J345" s="95"/>
      <c r="K345" s="95">
        <f>IFERROR('Manpower Projection'!H345*'Manpower Projection'!I345*'Manpower Projection'!J345,0)</f>
        <v>0</v>
      </c>
      <c r="L345" s="96" cm="1">
        <f t="array" ref="L345">'Manpower Projection'!$L$16</f>
        <v>51.69</v>
      </c>
      <c r="M345" s="96">
        <f>'Manpower Projection'!$M$16</f>
        <v>83.549310344827575</v>
      </c>
      <c r="N345" s="96">
        <f>IFERROR('Manpower Projection'!H345*'Manpower Projection'!L345,"")</f>
        <v>0</v>
      </c>
      <c r="O345" s="96">
        <f>IFERROR('Manpower Projection'!M345*'Manpower Projection'!H345,"")</f>
        <v>0</v>
      </c>
    </row>
    <row r="346" spans="6:15" ht="15" customHeight="1">
      <c r="F346" s="94"/>
      <c r="G346" s="95"/>
      <c r="H346" s="95"/>
      <c r="I346" s="95"/>
      <c r="J346" s="95"/>
      <c r="K346" s="95">
        <f>IFERROR('Manpower Projection'!H346*'Manpower Projection'!I346*'Manpower Projection'!J346,0)</f>
        <v>0</v>
      </c>
      <c r="L346" s="96" cm="1">
        <f t="array" ref="L346">'Manpower Projection'!$L$16</f>
        <v>51.69</v>
      </c>
      <c r="M346" s="96">
        <f>'Manpower Projection'!$M$16</f>
        <v>83.549310344827575</v>
      </c>
      <c r="N346" s="96">
        <f>IFERROR('Manpower Projection'!H346*'Manpower Projection'!L346,"")</f>
        <v>0</v>
      </c>
      <c r="O346" s="96">
        <f>IFERROR('Manpower Projection'!M346*'Manpower Projection'!H346,"")</f>
        <v>0</v>
      </c>
    </row>
    <row r="347" spans="6:15" ht="15" customHeight="1">
      <c r="F347" s="94"/>
      <c r="G347" s="95"/>
      <c r="H347" s="95"/>
      <c r="I347" s="95"/>
      <c r="J347" s="95"/>
      <c r="K347" s="95">
        <f>IFERROR('Manpower Projection'!H347*'Manpower Projection'!I347*'Manpower Projection'!J347,0)</f>
        <v>0</v>
      </c>
      <c r="L347" s="96" cm="1">
        <f t="array" ref="L347">'Manpower Projection'!$L$16</f>
        <v>51.69</v>
      </c>
      <c r="M347" s="96">
        <f>'Manpower Projection'!$M$16</f>
        <v>83.549310344827575</v>
      </c>
      <c r="N347" s="96">
        <f>IFERROR('Manpower Projection'!H347*'Manpower Projection'!L347,"")</f>
        <v>0</v>
      </c>
      <c r="O347" s="96">
        <f>IFERROR('Manpower Projection'!M347*'Manpower Projection'!H347,"")</f>
        <v>0</v>
      </c>
    </row>
    <row r="348" spans="6:15" ht="15" customHeight="1">
      <c r="F348" s="94"/>
      <c r="G348" s="95"/>
      <c r="H348" s="95"/>
      <c r="I348" s="95"/>
      <c r="J348" s="95"/>
      <c r="K348" s="95">
        <f>IFERROR('Manpower Projection'!H348*'Manpower Projection'!I348*'Manpower Projection'!J348,0)</f>
        <v>0</v>
      </c>
      <c r="L348" s="96" cm="1">
        <f t="array" ref="L348">'Manpower Projection'!$L$16</f>
        <v>51.69</v>
      </c>
      <c r="M348" s="96">
        <f>'Manpower Projection'!$M$16</f>
        <v>83.549310344827575</v>
      </c>
      <c r="N348" s="96">
        <f>IFERROR('Manpower Projection'!H348*'Manpower Projection'!L348,"")</f>
        <v>0</v>
      </c>
      <c r="O348" s="96">
        <f>IFERROR('Manpower Projection'!M348*'Manpower Projection'!H348,"")</f>
        <v>0</v>
      </c>
    </row>
    <row r="349" spans="6:15" ht="15" customHeight="1">
      <c r="F349" s="94"/>
      <c r="G349" s="95"/>
      <c r="H349" s="95"/>
      <c r="I349" s="95"/>
      <c r="J349" s="95"/>
      <c r="K349" s="95">
        <f>IFERROR('Manpower Projection'!H349*'Manpower Projection'!I349*'Manpower Projection'!J349,0)</f>
        <v>0</v>
      </c>
      <c r="L349" s="96" cm="1">
        <f t="array" ref="L349">'Manpower Projection'!$L$16</f>
        <v>51.69</v>
      </c>
      <c r="M349" s="96">
        <f>'Manpower Projection'!$M$16</f>
        <v>83.549310344827575</v>
      </c>
      <c r="N349" s="96">
        <f>IFERROR('Manpower Projection'!H349*'Manpower Projection'!L349,"")</f>
        <v>0</v>
      </c>
      <c r="O349" s="96">
        <f>IFERROR('Manpower Projection'!M349*'Manpower Projection'!H349,"")</f>
        <v>0</v>
      </c>
    </row>
    <row r="350" spans="6:15" ht="15" customHeight="1">
      <c r="F350" s="94"/>
      <c r="G350" s="95"/>
      <c r="H350" s="95"/>
      <c r="I350" s="95"/>
      <c r="J350" s="95"/>
      <c r="K350" s="95">
        <f>IFERROR('Manpower Projection'!H350*'Manpower Projection'!I350*'Manpower Projection'!J350,0)</f>
        <v>0</v>
      </c>
      <c r="L350" s="96" cm="1">
        <f t="array" ref="L350">'Manpower Projection'!$L$16</f>
        <v>51.69</v>
      </c>
      <c r="M350" s="96">
        <f>'Manpower Projection'!$M$16</f>
        <v>83.549310344827575</v>
      </c>
      <c r="N350" s="96">
        <f>IFERROR('Manpower Projection'!H350*'Manpower Projection'!L350,"")</f>
        <v>0</v>
      </c>
      <c r="O350" s="96">
        <f>IFERROR('Manpower Projection'!M350*'Manpower Projection'!H350,"")</f>
        <v>0</v>
      </c>
    </row>
    <row r="351" spans="6:15" ht="15" customHeight="1">
      <c r="F351" s="94"/>
      <c r="G351" s="95"/>
      <c r="H351" s="95"/>
      <c r="I351" s="95"/>
      <c r="J351" s="95"/>
      <c r="K351" s="95">
        <f>IFERROR('Manpower Projection'!H351*'Manpower Projection'!I351*'Manpower Projection'!J351,0)</f>
        <v>0</v>
      </c>
      <c r="L351" s="96" cm="1">
        <f t="array" ref="L351">'Manpower Projection'!$L$16</f>
        <v>51.69</v>
      </c>
      <c r="M351" s="96">
        <f>'Manpower Projection'!$M$16</f>
        <v>83.549310344827575</v>
      </c>
      <c r="N351" s="96">
        <f>IFERROR('Manpower Projection'!H351*'Manpower Projection'!L351,"")</f>
        <v>0</v>
      </c>
      <c r="O351" s="96">
        <f>IFERROR('Manpower Projection'!M351*'Manpower Projection'!H351,"")</f>
        <v>0</v>
      </c>
    </row>
    <row r="352" spans="6:15" ht="15" customHeight="1">
      <c r="F352" s="94"/>
      <c r="G352" s="95"/>
      <c r="H352" s="95"/>
      <c r="I352" s="95"/>
      <c r="J352" s="95"/>
      <c r="K352" s="95">
        <f>IFERROR('Manpower Projection'!H352*'Manpower Projection'!I352*'Manpower Projection'!J352,0)</f>
        <v>0</v>
      </c>
      <c r="L352" s="96" cm="1">
        <f t="array" ref="L352">'Manpower Projection'!$L$16</f>
        <v>51.69</v>
      </c>
      <c r="M352" s="96">
        <f>'Manpower Projection'!$M$16</f>
        <v>83.549310344827575</v>
      </c>
      <c r="N352" s="96">
        <f>IFERROR('Manpower Projection'!H352*'Manpower Projection'!L352,"")</f>
        <v>0</v>
      </c>
      <c r="O352" s="96">
        <f>IFERROR('Manpower Projection'!M352*'Manpower Projection'!H352,"")</f>
        <v>0</v>
      </c>
    </row>
    <row r="353" spans="6:15" ht="15" customHeight="1">
      <c r="F353" s="94"/>
      <c r="G353" s="95"/>
      <c r="H353" s="95"/>
      <c r="I353" s="95"/>
      <c r="J353" s="95"/>
      <c r="K353" s="95">
        <f>IFERROR('Manpower Projection'!H353*'Manpower Projection'!I353*'Manpower Projection'!J353,0)</f>
        <v>0</v>
      </c>
      <c r="L353" s="96" cm="1">
        <f t="array" ref="L353">'Manpower Projection'!$L$16</f>
        <v>51.69</v>
      </c>
      <c r="M353" s="96">
        <f>'Manpower Projection'!$M$16</f>
        <v>83.549310344827575</v>
      </c>
      <c r="N353" s="96">
        <f>IFERROR('Manpower Projection'!H353*'Manpower Projection'!L353,"")</f>
        <v>0</v>
      </c>
      <c r="O353" s="96">
        <f>IFERROR('Manpower Projection'!M353*'Manpower Projection'!H353,"")</f>
        <v>0</v>
      </c>
    </row>
    <row r="354" spans="6:15" ht="15" customHeight="1">
      <c r="F354" s="94"/>
      <c r="G354" s="95"/>
      <c r="H354" s="95"/>
      <c r="I354" s="95"/>
      <c r="J354" s="95"/>
      <c r="K354" s="95">
        <f>IFERROR('Manpower Projection'!H354*'Manpower Projection'!I354*'Manpower Projection'!J354,0)</f>
        <v>0</v>
      </c>
      <c r="L354" s="96" cm="1">
        <f t="array" ref="L354">'Manpower Projection'!$L$16</f>
        <v>51.69</v>
      </c>
      <c r="M354" s="96">
        <f>'Manpower Projection'!$M$16</f>
        <v>83.549310344827575</v>
      </c>
      <c r="N354" s="96">
        <f>IFERROR('Manpower Projection'!H354*'Manpower Projection'!L354,"")</f>
        <v>0</v>
      </c>
      <c r="O354" s="96">
        <f>IFERROR('Manpower Projection'!M354*'Manpower Projection'!H354,"")</f>
        <v>0</v>
      </c>
    </row>
    <row r="355" spans="6:15" ht="15" customHeight="1">
      <c r="F355" s="94"/>
      <c r="G355" s="95"/>
      <c r="H355" s="95"/>
      <c r="I355" s="95"/>
      <c r="J355" s="95"/>
      <c r="K355" s="95">
        <f>IFERROR('Manpower Projection'!H355*'Manpower Projection'!I355*'Manpower Projection'!J355,0)</f>
        <v>0</v>
      </c>
      <c r="L355" s="96" cm="1">
        <f t="array" ref="L355">'Manpower Projection'!$L$16</f>
        <v>51.69</v>
      </c>
      <c r="M355" s="96">
        <f>'Manpower Projection'!$M$16</f>
        <v>83.549310344827575</v>
      </c>
      <c r="N355" s="96">
        <f>IFERROR('Manpower Projection'!H355*'Manpower Projection'!L355,"")</f>
        <v>0</v>
      </c>
      <c r="O355" s="96">
        <f>IFERROR('Manpower Projection'!M355*'Manpower Projection'!H355,"")</f>
        <v>0</v>
      </c>
    </row>
    <row r="356" spans="6:15" ht="15" customHeight="1">
      <c r="F356" s="94"/>
      <c r="G356" s="95"/>
      <c r="H356" s="95"/>
      <c r="I356" s="95"/>
      <c r="J356" s="95"/>
      <c r="K356" s="95">
        <f>IFERROR('Manpower Projection'!H356*'Manpower Projection'!I356*'Manpower Projection'!J356,0)</f>
        <v>0</v>
      </c>
      <c r="L356" s="96" cm="1">
        <f t="array" ref="L356">'Manpower Projection'!$L$16</f>
        <v>51.69</v>
      </c>
      <c r="M356" s="96">
        <f>'Manpower Projection'!$M$16</f>
        <v>83.549310344827575</v>
      </c>
      <c r="N356" s="96">
        <f>IFERROR('Manpower Projection'!H356*'Manpower Projection'!L356,"")</f>
        <v>0</v>
      </c>
      <c r="O356" s="96">
        <f>IFERROR('Manpower Projection'!M356*'Manpower Projection'!H356,"")</f>
        <v>0</v>
      </c>
    </row>
    <row r="357" spans="6:15" ht="15" customHeight="1">
      <c r="F357" s="94"/>
      <c r="G357" s="95"/>
      <c r="H357" s="95"/>
      <c r="I357" s="95"/>
      <c r="J357" s="95"/>
      <c r="K357" s="95">
        <f>IFERROR('Manpower Projection'!H357*'Manpower Projection'!I357*'Manpower Projection'!J357,0)</f>
        <v>0</v>
      </c>
      <c r="L357" s="96" cm="1">
        <f t="array" ref="L357">'Manpower Projection'!$L$16</f>
        <v>51.69</v>
      </c>
      <c r="M357" s="96">
        <f>'Manpower Projection'!$M$16</f>
        <v>83.549310344827575</v>
      </c>
      <c r="N357" s="96">
        <f>IFERROR('Manpower Projection'!H357*'Manpower Projection'!L357,"")</f>
        <v>0</v>
      </c>
      <c r="O357" s="96">
        <f>IFERROR('Manpower Projection'!M357*'Manpower Projection'!H357,"")</f>
        <v>0</v>
      </c>
    </row>
    <row r="358" spans="6:15" ht="15" customHeight="1">
      <c r="F358" s="94"/>
      <c r="G358" s="95"/>
      <c r="H358" s="95"/>
      <c r="I358" s="95"/>
      <c r="J358" s="95"/>
      <c r="K358" s="95">
        <f>IFERROR('Manpower Projection'!H358*'Manpower Projection'!I358*'Manpower Projection'!J358,0)</f>
        <v>0</v>
      </c>
      <c r="L358" s="96" cm="1">
        <f t="array" ref="L358">'Manpower Projection'!$L$16</f>
        <v>51.69</v>
      </c>
      <c r="M358" s="96">
        <f>'Manpower Projection'!$M$16</f>
        <v>83.549310344827575</v>
      </c>
      <c r="N358" s="96">
        <f>IFERROR('Manpower Projection'!H358*'Manpower Projection'!L358,"")</f>
        <v>0</v>
      </c>
      <c r="O358" s="96">
        <f>IFERROR('Manpower Projection'!M358*'Manpower Projection'!H358,"")</f>
        <v>0</v>
      </c>
    </row>
    <row r="359" spans="6:15" ht="15" customHeight="1">
      <c r="F359" s="94"/>
      <c r="G359" s="95"/>
      <c r="H359" s="95"/>
      <c r="I359" s="95"/>
      <c r="J359" s="95"/>
      <c r="K359" s="95">
        <f>IFERROR('Manpower Projection'!H359*'Manpower Projection'!I359*'Manpower Projection'!J359,0)</f>
        <v>0</v>
      </c>
      <c r="L359" s="96" cm="1">
        <f t="array" ref="L359">'Manpower Projection'!$L$16</f>
        <v>51.69</v>
      </c>
      <c r="M359" s="96">
        <f>'Manpower Projection'!$M$16</f>
        <v>83.549310344827575</v>
      </c>
      <c r="N359" s="96">
        <f>IFERROR('Manpower Projection'!H359*'Manpower Projection'!L359,"")</f>
        <v>0</v>
      </c>
      <c r="O359" s="96">
        <f>IFERROR('Manpower Projection'!M359*'Manpower Projection'!H359,"")</f>
        <v>0</v>
      </c>
    </row>
    <row r="360" spans="6:15" ht="15" customHeight="1">
      <c r="F360" s="94"/>
      <c r="G360" s="95"/>
      <c r="H360" s="95"/>
      <c r="I360" s="95"/>
      <c r="J360" s="95"/>
      <c r="K360" s="95">
        <f>IFERROR('Manpower Projection'!H360*'Manpower Projection'!I360*'Manpower Projection'!J360,0)</f>
        <v>0</v>
      </c>
      <c r="L360" s="96" cm="1">
        <f t="array" ref="L360">'Manpower Projection'!$L$16</f>
        <v>51.69</v>
      </c>
      <c r="M360" s="96">
        <f>'Manpower Projection'!$M$16</f>
        <v>83.549310344827575</v>
      </c>
      <c r="N360" s="96">
        <f>IFERROR('Manpower Projection'!H360*'Manpower Projection'!L360,"")</f>
        <v>0</v>
      </c>
      <c r="O360" s="96">
        <f>IFERROR('Manpower Projection'!M360*'Manpower Projection'!H360,"")</f>
        <v>0</v>
      </c>
    </row>
    <row r="361" spans="6:15" ht="15" customHeight="1">
      <c r="F361" s="94"/>
      <c r="G361" s="95"/>
      <c r="H361" s="95"/>
      <c r="I361" s="95"/>
      <c r="J361" s="95"/>
      <c r="K361" s="95">
        <f>IFERROR('Manpower Projection'!H361*'Manpower Projection'!I361*'Manpower Projection'!J361,0)</f>
        <v>0</v>
      </c>
      <c r="L361" s="96" cm="1">
        <f t="array" ref="L361">'Manpower Projection'!$L$16</f>
        <v>51.69</v>
      </c>
      <c r="M361" s="96">
        <f>'Manpower Projection'!$M$16</f>
        <v>83.549310344827575</v>
      </c>
      <c r="N361" s="96">
        <f>IFERROR('Manpower Projection'!H361*'Manpower Projection'!L361,"")</f>
        <v>0</v>
      </c>
      <c r="O361" s="96">
        <f>IFERROR('Manpower Projection'!M361*'Manpower Projection'!H361,"")</f>
        <v>0</v>
      </c>
    </row>
    <row r="362" spans="6:15" ht="15" customHeight="1">
      <c r="F362" s="94"/>
      <c r="G362" s="95"/>
      <c r="H362" s="95"/>
      <c r="I362" s="95"/>
      <c r="J362" s="95"/>
      <c r="K362" s="95">
        <f>IFERROR('Manpower Projection'!H362*'Manpower Projection'!I362*'Manpower Projection'!J362,0)</f>
        <v>0</v>
      </c>
      <c r="L362" s="96" cm="1">
        <f t="array" ref="L362">'Manpower Projection'!$L$16</f>
        <v>51.69</v>
      </c>
      <c r="M362" s="96">
        <f>'Manpower Projection'!$M$16</f>
        <v>83.549310344827575</v>
      </c>
      <c r="N362" s="96">
        <f>IFERROR('Manpower Projection'!H362*'Manpower Projection'!L362,"")</f>
        <v>0</v>
      </c>
      <c r="O362" s="96">
        <f>IFERROR('Manpower Projection'!M362*'Manpower Projection'!H362,"")</f>
        <v>0</v>
      </c>
    </row>
    <row r="363" spans="6:15" ht="15" customHeight="1">
      <c r="F363" s="94"/>
      <c r="G363" s="95"/>
      <c r="H363" s="95"/>
      <c r="I363" s="95"/>
      <c r="J363" s="95"/>
      <c r="K363" s="95">
        <f>IFERROR('Manpower Projection'!H363*'Manpower Projection'!I363*'Manpower Projection'!J363,0)</f>
        <v>0</v>
      </c>
      <c r="L363" s="96" cm="1">
        <f t="array" ref="L363">'Manpower Projection'!$L$16</f>
        <v>51.69</v>
      </c>
      <c r="M363" s="96">
        <f>'Manpower Projection'!$M$16</f>
        <v>83.549310344827575</v>
      </c>
      <c r="N363" s="96">
        <f>IFERROR('Manpower Projection'!H363*'Manpower Projection'!L363,"")</f>
        <v>0</v>
      </c>
      <c r="O363" s="96">
        <f>IFERROR('Manpower Projection'!M363*'Manpower Projection'!H363,"")</f>
        <v>0</v>
      </c>
    </row>
    <row r="364" spans="6:15" ht="15" customHeight="1">
      <c r="F364" s="94"/>
      <c r="G364" s="95"/>
      <c r="H364" s="95"/>
      <c r="I364" s="95"/>
      <c r="J364" s="95"/>
      <c r="K364" s="95">
        <f>IFERROR('Manpower Projection'!H364*'Manpower Projection'!I364*'Manpower Projection'!J364,0)</f>
        <v>0</v>
      </c>
      <c r="L364" s="96" cm="1">
        <f t="array" ref="L364">'Manpower Projection'!$L$16</f>
        <v>51.69</v>
      </c>
      <c r="M364" s="96">
        <f>'Manpower Projection'!$M$16</f>
        <v>83.549310344827575</v>
      </c>
      <c r="N364" s="96">
        <f>IFERROR('Manpower Projection'!H364*'Manpower Projection'!L364,"")</f>
        <v>0</v>
      </c>
      <c r="O364" s="96">
        <f>IFERROR('Manpower Projection'!M364*'Manpower Projection'!H364,"")</f>
        <v>0</v>
      </c>
    </row>
    <row r="365" spans="6:15" ht="15" customHeight="1">
      <c r="F365" s="94"/>
      <c r="G365" s="95"/>
      <c r="H365" s="95"/>
      <c r="I365" s="95"/>
      <c r="J365" s="95"/>
      <c r="K365" s="95">
        <f>IFERROR('Manpower Projection'!H365*'Manpower Projection'!I365*'Manpower Projection'!J365,0)</f>
        <v>0</v>
      </c>
      <c r="L365" s="96" cm="1">
        <f t="array" ref="L365">'Manpower Projection'!$L$16</f>
        <v>51.69</v>
      </c>
      <c r="M365" s="96">
        <f>'Manpower Projection'!$M$16</f>
        <v>83.549310344827575</v>
      </c>
      <c r="N365" s="96">
        <f>IFERROR('Manpower Projection'!H365*'Manpower Projection'!L365,"")</f>
        <v>0</v>
      </c>
      <c r="O365" s="96">
        <f>IFERROR('Manpower Projection'!M365*'Manpower Projection'!H365,"")</f>
        <v>0</v>
      </c>
    </row>
    <row r="366" spans="6:15" ht="15" customHeight="1">
      <c r="F366" s="94"/>
      <c r="G366" s="95"/>
      <c r="H366" s="95"/>
      <c r="I366" s="95"/>
      <c r="J366" s="95"/>
      <c r="K366" s="95">
        <f>IFERROR('Manpower Projection'!H366*'Manpower Projection'!I366*'Manpower Projection'!J366,0)</f>
        <v>0</v>
      </c>
      <c r="L366" s="96" cm="1">
        <f t="array" ref="L366">'Manpower Projection'!$L$16</f>
        <v>51.69</v>
      </c>
      <c r="M366" s="96">
        <f>'Manpower Projection'!$M$16</f>
        <v>83.549310344827575</v>
      </c>
      <c r="N366" s="96">
        <f>IFERROR('Manpower Projection'!H366*'Manpower Projection'!L366,"")</f>
        <v>0</v>
      </c>
      <c r="O366" s="96">
        <f>IFERROR('Manpower Projection'!M366*'Manpower Projection'!H366,"")</f>
        <v>0</v>
      </c>
    </row>
    <row r="367" spans="6:15" ht="15" customHeight="1">
      <c r="F367" s="94"/>
      <c r="G367" s="95"/>
      <c r="H367" s="95"/>
      <c r="I367" s="95"/>
      <c r="J367" s="95"/>
      <c r="K367" s="95">
        <f>IFERROR('Manpower Projection'!H367*'Manpower Projection'!I367*'Manpower Projection'!J367,0)</f>
        <v>0</v>
      </c>
      <c r="L367" s="96" cm="1">
        <f t="array" ref="L367">'Manpower Projection'!$L$16</f>
        <v>51.69</v>
      </c>
      <c r="M367" s="96">
        <f>'Manpower Projection'!$M$16</f>
        <v>83.549310344827575</v>
      </c>
      <c r="N367" s="96">
        <f>IFERROR('Manpower Projection'!H367*'Manpower Projection'!L367,"")</f>
        <v>0</v>
      </c>
      <c r="O367" s="96">
        <f>IFERROR('Manpower Projection'!M367*'Manpower Projection'!H367,"")</f>
        <v>0</v>
      </c>
    </row>
    <row r="368" spans="6:15" ht="15" customHeight="1">
      <c r="F368" s="94"/>
      <c r="G368" s="95"/>
      <c r="H368" s="95"/>
      <c r="I368" s="95"/>
      <c r="J368" s="95"/>
      <c r="K368" s="95">
        <f>IFERROR('Manpower Projection'!H368*'Manpower Projection'!I368*'Manpower Projection'!J368,0)</f>
        <v>0</v>
      </c>
      <c r="L368" s="96" cm="1">
        <f t="array" ref="L368">'Manpower Projection'!$L$16</f>
        <v>51.69</v>
      </c>
      <c r="M368" s="96">
        <f>'Manpower Projection'!$M$16</f>
        <v>83.549310344827575</v>
      </c>
      <c r="N368" s="96">
        <f>IFERROR('Manpower Projection'!H368*'Manpower Projection'!L368,"")</f>
        <v>0</v>
      </c>
      <c r="O368" s="96">
        <f>IFERROR('Manpower Projection'!M368*'Manpower Projection'!H368,"")</f>
        <v>0</v>
      </c>
    </row>
    <row r="369" spans="6:15" ht="15" customHeight="1">
      <c r="F369" s="94"/>
      <c r="G369" s="95"/>
      <c r="H369" s="95"/>
      <c r="I369" s="95"/>
      <c r="J369" s="95"/>
      <c r="K369" s="95">
        <f>IFERROR('Manpower Projection'!H369*'Manpower Projection'!I369*'Manpower Projection'!J369,0)</f>
        <v>0</v>
      </c>
      <c r="L369" s="96" cm="1">
        <f t="array" ref="L369">'Manpower Projection'!$L$16</f>
        <v>51.69</v>
      </c>
      <c r="M369" s="96">
        <f>'Manpower Projection'!$M$16</f>
        <v>83.549310344827575</v>
      </c>
      <c r="N369" s="96">
        <f>IFERROR('Manpower Projection'!H369*'Manpower Projection'!L369,"")</f>
        <v>0</v>
      </c>
      <c r="O369" s="96">
        <f>IFERROR('Manpower Projection'!M369*'Manpower Projection'!H369,"")</f>
        <v>0</v>
      </c>
    </row>
    <row r="370" spans="6:15" ht="15" customHeight="1">
      <c r="F370" s="94"/>
      <c r="G370" s="95"/>
      <c r="H370" s="95"/>
      <c r="I370" s="95"/>
      <c r="J370" s="95"/>
      <c r="K370" s="95">
        <f>IFERROR('Manpower Projection'!H370*'Manpower Projection'!I370*'Manpower Projection'!J370,0)</f>
        <v>0</v>
      </c>
      <c r="L370" s="96" cm="1">
        <f t="array" ref="L370">'Manpower Projection'!$L$16</f>
        <v>51.69</v>
      </c>
      <c r="M370" s="96">
        <f>'Manpower Projection'!$M$16</f>
        <v>83.549310344827575</v>
      </c>
      <c r="N370" s="96">
        <f>IFERROR('Manpower Projection'!H370*'Manpower Projection'!L370,"")</f>
        <v>0</v>
      </c>
      <c r="O370" s="96">
        <f>IFERROR('Manpower Projection'!M370*'Manpower Projection'!H370,"")</f>
        <v>0</v>
      </c>
    </row>
    <row r="371" spans="6:15" ht="15" customHeight="1">
      <c r="F371" s="94"/>
      <c r="G371" s="95"/>
      <c r="H371" s="95"/>
      <c r="I371" s="95"/>
      <c r="J371" s="95"/>
      <c r="K371" s="95">
        <f>IFERROR('Manpower Projection'!H371*'Manpower Projection'!I371*'Manpower Projection'!J371,0)</f>
        <v>0</v>
      </c>
      <c r="L371" s="96" cm="1">
        <f t="array" ref="L371">'Manpower Projection'!$L$16</f>
        <v>51.69</v>
      </c>
      <c r="M371" s="96">
        <f>'Manpower Projection'!$M$16</f>
        <v>83.549310344827575</v>
      </c>
      <c r="N371" s="96">
        <f>IFERROR('Manpower Projection'!H371*'Manpower Projection'!L371,"")</f>
        <v>0</v>
      </c>
      <c r="O371" s="96">
        <f>IFERROR('Manpower Projection'!M371*'Manpower Projection'!H371,"")</f>
        <v>0</v>
      </c>
    </row>
    <row r="372" spans="6:15" ht="15" customHeight="1">
      <c r="F372" s="94"/>
      <c r="G372" s="95"/>
      <c r="H372" s="95"/>
      <c r="I372" s="95"/>
      <c r="J372" s="95"/>
      <c r="K372" s="95">
        <f>IFERROR('Manpower Projection'!H372*'Manpower Projection'!I372*'Manpower Projection'!J372,0)</f>
        <v>0</v>
      </c>
      <c r="L372" s="96" cm="1">
        <f t="array" ref="L372">'Manpower Projection'!$L$16</f>
        <v>51.69</v>
      </c>
      <c r="M372" s="96">
        <f>'Manpower Projection'!$M$16</f>
        <v>83.549310344827575</v>
      </c>
      <c r="N372" s="96">
        <f>IFERROR('Manpower Projection'!H372*'Manpower Projection'!L372,"")</f>
        <v>0</v>
      </c>
      <c r="O372" s="96">
        <f>IFERROR('Manpower Projection'!M372*'Manpower Projection'!H372,"")</f>
        <v>0</v>
      </c>
    </row>
    <row r="373" spans="6:15" ht="15" customHeight="1">
      <c r="F373" s="94"/>
      <c r="G373" s="95"/>
      <c r="H373" s="95"/>
      <c r="I373" s="95"/>
      <c r="J373" s="95"/>
      <c r="K373" s="95">
        <f>IFERROR('Manpower Projection'!H373*'Manpower Projection'!I373*'Manpower Projection'!J373,0)</f>
        <v>0</v>
      </c>
      <c r="L373" s="96" cm="1">
        <f t="array" ref="L373">'Manpower Projection'!$L$16</f>
        <v>51.69</v>
      </c>
      <c r="M373" s="96">
        <f>'Manpower Projection'!$M$16</f>
        <v>83.549310344827575</v>
      </c>
      <c r="N373" s="96">
        <f>IFERROR('Manpower Projection'!H373*'Manpower Projection'!L373,"")</f>
        <v>0</v>
      </c>
      <c r="O373" s="96">
        <f>IFERROR('Manpower Projection'!M373*'Manpower Projection'!H373,"")</f>
        <v>0</v>
      </c>
    </row>
    <row r="374" spans="6:15" ht="15" customHeight="1">
      <c r="F374" s="94"/>
      <c r="G374" s="95"/>
      <c r="H374" s="95"/>
      <c r="I374" s="95"/>
      <c r="J374" s="95"/>
      <c r="K374" s="95">
        <f>IFERROR('Manpower Projection'!H374*'Manpower Projection'!I374*'Manpower Projection'!J374,0)</f>
        <v>0</v>
      </c>
      <c r="L374" s="96" cm="1">
        <f t="array" ref="L374">'Manpower Projection'!$L$16</f>
        <v>51.69</v>
      </c>
      <c r="M374" s="96">
        <f>'Manpower Projection'!$M$16</f>
        <v>83.549310344827575</v>
      </c>
      <c r="N374" s="96">
        <f>IFERROR('Manpower Projection'!H374*'Manpower Projection'!L374,"")</f>
        <v>0</v>
      </c>
      <c r="O374" s="96">
        <f>IFERROR('Manpower Projection'!M374*'Manpower Projection'!H374,"")</f>
        <v>0</v>
      </c>
    </row>
    <row r="375" spans="6:15" ht="15" customHeight="1">
      <c r="F375" s="94"/>
      <c r="G375" s="95"/>
      <c r="H375" s="95"/>
      <c r="I375" s="95"/>
      <c r="J375" s="95"/>
      <c r="K375" s="95">
        <f>IFERROR('Manpower Projection'!H375*'Manpower Projection'!I375*'Manpower Projection'!J375,0)</f>
        <v>0</v>
      </c>
      <c r="L375" s="96" cm="1">
        <f t="array" ref="L375">'Manpower Projection'!$L$16</f>
        <v>51.69</v>
      </c>
      <c r="M375" s="96">
        <f>'Manpower Projection'!$M$16</f>
        <v>83.549310344827575</v>
      </c>
      <c r="N375" s="96">
        <f>IFERROR('Manpower Projection'!H375*'Manpower Projection'!L375,"")</f>
        <v>0</v>
      </c>
      <c r="O375" s="96">
        <f>IFERROR('Manpower Projection'!M375*'Manpower Projection'!H375,"")</f>
        <v>0</v>
      </c>
    </row>
    <row r="376" spans="6:15" ht="15" customHeight="1">
      <c r="F376" s="94"/>
      <c r="G376" s="95"/>
      <c r="H376" s="95"/>
      <c r="I376" s="95"/>
      <c r="J376" s="95"/>
      <c r="K376" s="95">
        <f>IFERROR('Manpower Projection'!H376*'Manpower Projection'!I376*'Manpower Projection'!J376,0)</f>
        <v>0</v>
      </c>
      <c r="L376" s="96" cm="1">
        <f t="array" ref="L376">'Manpower Projection'!$L$16</f>
        <v>51.69</v>
      </c>
      <c r="M376" s="96">
        <f>'Manpower Projection'!$M$16</f>
        <v>83.549310344827575</v>
      </c>
      <c r="N376" s="96">
        <f>IFERROR('Manpower Projection'!H376*'Manpower Projection'!L376,"")</f>
        <v>0</v>
      </c>
      <c r="O376" s="96">
        <f>IFERROR('Manpower Projection'!M376*'Manpower Projection'!H376,"")</f>
        <v>0</v>
      </c>
    </row>
    <row r="377" spans="6:15" ht="15" customHeight="1">
      <c r="F377" s="94"/>
      <c r="G377" s="95"/>
      <c r="H377" s="95"/>
      <c r="I377" s="95"/>
      <c r="J377" s="95"/>
      <c r="K377" s="95">
        <f>IFERROR('Manpower Projection'!H377*'Manpower Projection'!I377*'Manpower Projection'!J377,0)</f>
        <v>0</v>
      </c>
      <c r="L377" s="96" cm="1">
        <f t="array" ref="L377">'Manpower Projection'!$L$16</f>
        <v>51.69</v>
      </c>
      <c r="M377" s="96">
        <f>'Manpower Projection'!$M$16</f>
        <v>83.549310344827575</v>
      </c>
      <c r="N377" s="96">
        <f>IFERROR('Manpower Projection'!H377*'Manpower Projection'!L377,"")</f>
        <v>0</v>
      </c>
      <c r="O377" s="96">
        <f>IFERROR('Manpower Projection'!M377*'Manpower Projection'!H377,"")</f>
        <v>0</v>
      </c>
    </row>
    <row r="378" spans="6:15" ht="15" customHeight="1">
      <c r="F378" s="94"/>
      <c r="G378" s="95"/>
      <c r="H378" s="95"/>
      <c r="I378" s="95"/>
      <c r="J378" s="95"/>
      <c r="K378" s="95">
        <f>IFERROR('Manpower Projection'!H378*'Manpower Projection'!I378*'Manpower Projection'!J378,0)</f>
        <v>0</v>
      </c>
      <c r="L378" s="96" cm="1">
        <f t="array" ref="L378">'Manpower Projection'!$L$16</f>
        <v>51.69</v>
      </c>
      <c r="M378" s="96">
        <f>'Manpower Projection'!$M$16</f>
        <v>83.549310344827575</v>
      </c>
      <c r="N378" s="96">
        <f>IFERROR('Manpower Projection'!H378*'Manpower Projection'!L378,"")</f>
        <v>0</v>
      </c>
      <c r="O378" s="96">
        <f>IFERROR('Manpower Projection'!M378*'Manpower Projection'!H378,"")</f>
        <v>0</v>
      </c>
    </row>
    <row r="379" spans="6:15" ht="15" customHeight="1">
      <c r="F379" s="94"/>
      <c r="G379" s="95"/>
      <c r="H379" s="95"/>
      <c r="I379" s="95"/>
      <c r="J379" s="95"/>
      <c r="K379" s="95">
        <f>IFERROR('Manpower Projection'!H379*'Manpower Projection'!I379*'Manpower Projection'!J379,0)</f>
        <v>0</v>
      </c>
      <c r="L379" s="96" cm="1">
        <f t="array" ref="L379">'Manpower Projection'!$L$16</f>
        <v>51.69</v>
      </c>
      <c r="M379" s="96">
        <f>'Manpower Projection'!$M$16</f>
        <v>83.549310344827575</v>
      </c>
      <c r="N379" s="96">
        <f>IFERROR('Manpower Projection'!H379*'Manpower Projection'!L379,"")</f>
        <v>0</v>
      </c>
      <c r="O379" s="96">
        <f>IFERROR('Manpower Projection'!M379*'Manpower Projection'!H379,"")</f>
        <v>0</v>
      </c>
    </row>
    <row r="380" spans="6:15" ht="15" customHeight="1">
      <c r="F380" s="94"/>
      <c r="G380" s="95"/>
      <c r="H380" s="95"/>
      <c r="I380" s="95"/>
      <c r="J380" s="95"/>
      <c r="K380" s="95">
        <f>IFERROR('Manpower Projection'!H380*'Manpower Projection'!I380*'Manpower Projection'!J380,0)</f>
        <v>0</v>
      </c>
      <c r="L380" s="96" cm="1">
        <f t="array" ref="L380">'Manpower Projection'!$L$16</f>
        <v>51.69</v>
      </c>
      <c r="M380" s="96">
        <f>'Manpower Projection'!$M$16</f>
        <v>83.549310344827575</v>
      </c>
      <c r="N380" s="96">
        <f>IFERROR('Manpower Projection'!H380*'Manpower Projection'!L380,"")</f>
        <v>0</v>
      </c>
      <c r="O380" s="96">
        <f>IFERROR('Manpower Projection'!M380*'Manpower Projection'!H380,"")</f>
        <v>0</v>
      </c>
    </row>
    <row r="381" spans="6:15" ht="15" customHeight="1">
      <c r="F381" s="94"/>
      <c r="G381" s="95"/>
      <c r="H381" s="95"/>
      <c r="I381" s="95"/>
      <c r="J381" s="95"/>
      <c r="K381" s="95">
        <f>IFERROR('Manpower Projection'!H381*'Manpower Projection'!I381*'Manpower Projection'!J381,0)</f>
        <v>0</v>
      </c>
      <c r="L381" s="96" cm="1">
        <f t="array" ref="L381">'Manpower Projection'!$L$16</f>
        <v>51.69</v>
      </c>
      <c r="M381" s="96">
        <f>'Manpower Projection'!$M$16</f>
        <v>83.549310344827575</v>
      </c>
      <c r="N381" s="96">
        <f>IFERROR('Manpower Projection'!H381*'Manpower Projection'!L381,"")</f>
        <v>0</v>
      </c>
      <c r="O381" s="96">
        <f>IFERROR('Manpower Projection'!M381*'Manpower Projection'!H381,"")</f>
        <v>0</v>
      </c>
    </row>
    <row r="382" spans="6:15" ht="15" customHeight="1">
      <c r="F382" s="94"/>
      <c r="G382" s="95"/>
      <c r="H382" s="95"/>
      <c r="I382" s="95"/>
      <c r="J382" s="95"/>
      <c r="K382" s="95">
        <f>IFERROR('Manpower Projection'!H382*'Manpower Projection'!I382*'Manpower Projection'!J382,0)</f>
        <v>0</v>
      </c>
      <c r="L382" s="96" cm="1">
        <f t="array" ref="L382">'Manpower Projection'!$L$16</f>
        <v>51.69</v>
      </c>
      <c r="M382" s="96">
        <f>'Manpower Projection'!$M$16</f>
        <v>83.549310344827575</v>
      </c>
      <c r="N382" s="96">
        <f>IFERROR('Manpower Projection'!H382*'Manpower Projection'!L382,"")</f>
        <v>0</v>
      </c>
      <c r="O382" s="96">
        <f>IFERROR('Manpower Projection'!M382*'Manpower Projection'!H382,"")</f>
        <v>0</v>
      </c>
    </row>
    <row r="383" spans="6:15" ht="15" customHeight="1">
      <c r="F383" s="94"/>
      <c r="G383" s="95"/>
      <c r="H383" s="95"/>
      <c r="I383" s="95"/>
      <c r="J383" s="95"/>
      <c r="K383" s="95">
        <f>IFERROR('Manpower Projection'!H383*'Manpower Projection'!I383*'Manpower Projection'!J383,0)</f>
        <v>0</v>
      </c>
      <c r="L383" s="96" cm="1">
        <f t="array" ref="L383">'Manpower Projection'!$L$16</f>
        <v>51.69</v>
      </c>
      <c r="M383" s="96">
        <f>'Manpower Projection'!$M$16</f>
        <v>83.549310344827575</v>
      </c>
      <c r="N383" s="96">
        <f>IFERROR('Manpower Projection'!H383*'Manpower Projection'!L383,"")</f>
        <v>0</v>
      </c>
      <c r="O383" s="96">
        <f>IFERROR('Manpower Projection'!M383*'Manpower Projection'!H383,"")</f>
        <v>0</v>
      </c>
    </row>
    <row r="384" spans="6:15" ht="15" customHeight="1">
      <c r="F384" s="94"/>
      <c r="G384" s="95"/>
      <c r="H384" s="95"/>
      <c r="I384" s="95"/>
      <c r="J384" s="95"/>
      <c r="K384" s="95">
        <f>IFERROR('Manpower Projection'!H384*'Manpower Projection'!I384*'Manpower Projection'!J384,0)</f>
        <v>0</v>
      </c>
      <c r="L384" s="96" cm="1">
        <f t="array" ref="L384">'Manpower Projection'!$L$16</f>
        <v>51.69</v>
      </c>
      <c r="M384" s="96">
        <f>'Manpower Projection'!$M$16</f>
        <v>83.549310344827575</v>
      </c>
      <c r="N384" s="96">
        <f>IFERROR('Manpower Projection'!H384*'Manpower Projection'!L384,"")</f>
        <v>0</v>
      </c>
      <c r="O384" s="96">
        <f>IFERROR('Manpower Projection'!M384*'Manpower Projection'!H384,"")</f>
        <v>0</v>
      </c>
    </row>
    <row r="385" spans="6:15" ht="15" customHeight="1">
      <c r="F385" s="94"/>
      <c r="G385" s="95"/>
      <c r="H385" s="95"/>
      <c r="I385" s="95"/>
      <c r="J385" s="95"/>
      <c r="K385" s="95">
        <f>IFERROR('Manpower Projection'!H385*'Manpower Projection'!I385*'Manpower Projection'!J385,0)</f>
        <v>0</v>
      </c>
      <c r="L385" s="96" cm="1">
        <f t="array" ref="L385">'Manpower Projection'!$L$16</f>
        <v>51.69</v>
      </c>
      <c r="M385" s="96">
        <f>'Manpower Projection'!$M$16</f>
        <v>83.549310344827575</v>
      </c>
      <c r="N385" s="96">
        <f>IFERROR('Manpower Projection'!H385*'Manpower Projection'!L385,"")</f>
        <v>0</v>
      </c>
      <c r="O385" s="96">
        <f>IFERROR('Manpower Projection'!M385*'Manpower Projection'!H385,"")</f>
        <v>0</v>
      </c>
    </row>
    <row r="386" spans="6:15" ht="15" customHeight="1">
      <c r="F386" s="94"/>
      <c r="G386" s="95"/>
      <c r="H386" s="95"/>
      <c r="I386" s="95"/>
      <c r="J386" s="95"/>
      <c r="K386" s="95">
        <f>IFERROR('Manpower Projection'!H386*'Manpower Projection'!I386*'Manpower Projection'!J386,0)</f>
        <v>0</v>
      </c>
      <c r="L386" s="96" cm="1">
        <f t="array" ref="L386">'Manpower Projection'!$L$16</f>
        <v>51.69</v>
      </c>
      <c r="M386" s="96">
        <f>'Manpower Projection'!$M$16</f>
        <v>83.549310344827575</v>
      </c>
      <c r="N386" s="96">
        <f>IFERROR('Manpower Projection'!H386*'Manpower Projection'!L386,"")</f>
        <v>0</v>
      </c>
      <c r="O386" s="96">
        <f>IFERROR('Manpower Projection'!M386*'Manpower Projection'!H386,"")</f>
        <v>0</v>
      </c>
    </row>
    <row r="387" spans="6:15" ht="15" customHeight="1">
      <c r="F387" s="94"/>
      <c r="G387" s="95"/>
      <c r="H387" s="95"/>
      <c r="I387" s="95"/>
      <c r="J387" s="95"/>
      <c r="K387" s="95">
        <f>IFERROR('Manpower Projection'!H387*'Manpower Projection'!I387*'Manpower Projection'!J387,0)</f>
        <v>0</v>
      </c>
      <c r="L387" s="96" cm="1">
        <f t="array" ref="L387">'Manpower Projection'!$L$16</f>
        <v>51.69</v>
      </c>
      <c r="M387" s="96">
        <f>'Manpower Projection'!$M$16</f>
        <v>83.549310344827575</v>
      </c>
      <c r="N387" s="96">
        <f>IFERROR('Manpower Projection'!H387*'Manpower Projection'!L387,"")</f>
        <v>0</v>
      </c>
      <c r="O387" s="96">
        <f>IFERROR('Manpower Projection'!M387*'Manpower Projection'!H387,"")</f>
        <v>0</v>
      </c>
    </row>
    <row r="388" spans="6:15" ht="15" customHeight="1">
      <c r="F388" s="94"/>
      <c r="G388" s="95"/>
      <c r="H388" s="95"/>
      <c r="I388" s="95"/>
      <c r="J388" s="95"/>
      <c r="K388" s="95">
        <f>IFERROR('Manpower Projection'!H388*'Manpower Projection'!I388*'Manpower Projection'!J388,0)</f>
        <v>0</v>
      </c>
      <c r="L388" s="96" cm="1">
        <f t="array" ref="L388">'Manpower Projection'!$L$16</f>
        <v>51.69</v>
      </c>
      <c r="M388" s="96">
        <f>'Manpower Projection'!$M$16</f>
        <v>83.549310344827575</v>
      </c>
      <c r="N388" s="96">
        <f>IFERROR('Manpower Projection'!H388*'Manpower Projection'!L388,"")</f>
        <v>0</v>
      </c>
      <c r="O388" s="96">
        <f>IFERROR('Manpower Projection'!M388*'Manpower Projection'!H388,"")</f>
        <v>0</v>
      </c>
    </row>
    <row r="389" spans="6:15" ht="15" customHeight="1">
      <c r="F389" s="94"/>
      <c r="G389" s="95"/>
      <c r="H389" s="95"/>
      <c r="I389" s="95"/>
      <c r="J389" s="95"/>
      <c r="K389" s="95">
        <f>IFERROR('Manpower Projection'!H389*'Manpower Projection'!I389*'Manpower Projection'!J389,0)</f>
        <v>0</v>
      </c>
      <c r="L389" s="96" cm="1">
        <f t="array" ref="L389">'Manpower Projection'!$L$16</f>
        <v>51.69</v>
      </c>
      <c r="M389" s="96">
        <f>'Manpower Projection'!$M$16</f>
        <v>83.549310344827575</v>
      </c>
      <c r="N389" s="96">
        <f>IFERROR('Manpower Projection'!H389*'Manpower Projection'!L389,"")</f>
        <v>0</v>
      </c>
      <c r="O389" s="96">
        <f>IFERROR('Manpower Projection'!M389*'Manpower Projection'!H389,"")</f>
        <v>0</v>
      </c>
    </row>
    <row r="390" spans="6:15" ht="15" customHeight="1">
      <c r="F390" s="94"/>
      <c r="G390" s="95"/>
      <c r="H390" s="95"/>
      <c r="I390" s="95"/>
      <c r="J390" s="95"/>
      <c r="K390" s="95">
        <f>IFERROR('Manpower Projection'!H390*'Manpower Projection'!I390*'Manpower Projection'!J390,0)</f>
        <v>0</v>
      </c>
      <c r="L390" s="96" cm="1">
        <f t="array" ref="L390">'Manpower Projection'!$L$16</f>
        <v>51.69</v>
      </c>
      <c r="M390" s="96">
        <f>'Manpower Projection'!$M$16</f>
        <v>83.549310344827575</v>
      </c>
      <c r="N390" s="96">
        <f>IFERROR('Manpower Projection'!H390*'Manpower Projection'!L390,"")</f>
        <v>0</v>
      </c>
      <c r="O390" s="96">
        <f>IFERROR('Manpower Projection'!M390*'Manpower Projection'!H390,"")</f>
        <v>0</v>
      </c>
    </row>
    <row r="391" spans="6:15" ht="15" customHeight="1">
      <c r="F391" s="94"/>
      <c r="G391" s="95"/>
      <c r="H391" s="95"/>
      <c r="I391" s="95"/>
      <c r="J391" s="95"/>
      <c r="K391" s="95">
        <f>IFERROR('Manpower Projection'!H391*'Manpower Projection'!I391*'Manpower Projection'!J391,0)</f>
        <v>0</v>
      </c>
      <c r="L391" s="96" cm="1">
        <f t="array" ref="L391">'Manpower Projection'!$L$16</f>
        <v>51.69</v>
      </c>
      <c r="M391" s="96">
        <f>'Manpower Projection'!$M$16</f>
        <v>83.549310344827575</v>
      </c>
      <c r="N391" s="96">
        <f>IFERROR('Manpower Projection'!H391*'Manpower Projection'!L391,"")</f>
        <v>0</v>
      </c>
      <c r="O391" s="96">
        <f>IFERROR('Manpower Projection'!M391*'Manpower Projection'!H391,"")</f>
        <v>0</v>
      </c>
    </row>
    <row r="392" spans="6:15" ht="15" customHeight="1">
      <c r="F392" s="94"/>
      <c r="G392" s="95"/>
      <c r="H392" s="95"/>
      <c r="I392" s="95"/>
      <c r="J392" s="95"/>
      <c r="K392" s="95">
        <f>IFERROR('Manpower Projection'!H392*'Manpower Projection'!I392*'Manpower Projection'!J392,0)</f>
        <v>0</v>
      </c>
      <c r="L392" s="96" cm="1">
        <f t="array" ref="L392">'Manpower Projection'!$L$16</f>
        <v>51.69</v>
      </c>
      <c r="M392" s="96">
        <f>'Manpower Projection'!$M$16</f>
        <v>83.549310344827575</v>
      </c>
      <c r="N392" s="96">
        <f>IFERROR('Manpower Projection'!H392*'Manpower Projection'!L392,"")</f>
        <v>0</v>
      </c>
      <c r="O392" s="96">
        <f>IFERROR('Manpower Projection'!M392*'Manpower Projection'!H392,"")</f>
        <v>0</v>
      </c>
    </row>
    <row r="393" spans="6:15" ht="15" customHeight="1">
      <c r="F393" s="94"/>
      <c r="G393" s="95"/>
      <c r="H393" s="95"/>
      <c r="I393" s="95"/>
      <c r="J393" s="95"/>
      <c r="K393" s="95">
        <f>IFERROR('Manpower Projection'!H393*'Manpower Projection'!I393*'Manpower Projection'!J393,0)</f>
        <v>0</v>
      </c>
      <c r="L393" s="96" cm="1">
        <f t="array" ref="L393">'Manpower Projection'!$L$16</f>
        <v>51.69</v>
      </c>
      <c r="M393" s="96">
        <f>'Manpower Projection'!$M$16</f>
        <v>83.549310344827575</v>
      </c>
      <c r="N393" s="96">
        <f>IFERROR('Manpower Projection'!H393*'Manpower Projection'!L393,"")</f>
        <v>0</v>
      </c>
      <c r="O393" s="96">
        <f>IFERROR('Manpower Projection'!M393*'Manpower Projection'!H393,"")</f>
        <v>0</v>
      </c>
    </row>
    <row r="394" spans="6:15" ht="15" customHeight="1">
      <c r="F394" s="94"/>
      <c r="G394" s="95"/>
      <c r="H394" s="95"/>
      <c r="I394" s="95"/>
      <c r="J394" s="95"/>
      <c r="K394" s="95">
        <f>IFERROR('Manpower Projection'!H394*'Manpower Projection'!I394*'Manpower Projection'!J394,0)</f>
        <v>0</v>
      </c>
      <c r="L394" s="96" cm="1">
        <f t="array" ref="L394">'Manpower Projection'!$L$16</f>
        <v>51.69</v>
      </c>
      <c r="M394" s="96">
        <f>'Manpower Projection'!$M$16</f>
        <v>83.549310344827575</v>
      </c>
      <c r="N394" s="96">
        <f>IFERROR('Manpower Projection'!H394*'Manpower Projection'!L394,"")</f>
        <v>0</v>
      </c>
      <c r="O394" s="96">
        <f>IFERROR('Manpower Projection'!M394*'Manpower Projection'!H394,"")</f>
        <v>0</v>
      </c>
    </row>
    <row r="395" spans="6:15" ht="15" customHeight="1">
      <c r="F395" s="94"/>
      <c r="G395" s="95"/>
      <c r="H395" s="95"/>
      <c r="I395" s="95"/>
      <c r="J395" s="95"/>
      <c r="K395" s="95">
        <f>IFERROR('Manpower Projection'!H395*'Manpower Projection'!I395*'Manpower Projection'!J395,0)</f>
        <v>0</v>
      </c>
      <c r="L395" s="96" cm="1">
        <f t="array" ref="L395">'Manpower Projection'!$L$16</f>
        <v>51.69</v>
      </c>
      <c r="M395" s="96">
        <f>'Manpower Projection'!$M$16</f>
        <v>83.549310344827575</v>
      </c>
      <c r="N395" s="96">
        <f>IFERROR('Manpower Projection'!H395*'Manpower Projection'!L395,"")</f>
        <v>0</v>
      </c>
      <c r="O395" s="96">
        <f>IFERROR('Manpower Projection'!M395*'Manpower Projection'!H395,"")</f>
        <v>0</v>
      </c>
    </row>
    <row r="396" spans="6:15" ht="15" customHeight="1">
      <c r="F396" s="94"/>
      <c r="G396" s="95"/>
      <c r="H396" s="95"/>
      <c r="I396" s="95"/>
      <c r="J396" s="95"/>
      <c r="K396" s="95">
        <f>IFERROR('Manpower Projection'!H396*'Manpower Projection'!I396*'Manpower Projection'!J396,0)</f>
        <v>0</v>
      </c>
      <c r="L396" s="96" cm="1">
        <f t="array" ref="L396">'Manpower Projection'!$L$16</f>
        <v>51.69</v>
      </c>
      <c r="M396" s="96">
        <f>'Manpower Projection'!$M$16</f>
        <v>83.549310344827575</v>
      </c>
      <c r="N396" s="96">
        <f>IFERROR('Manpower Projection'!H396*'Manpower Projection'!L396,"")</f>
        <v>0</v>
      </c>
      <c r="O396" s="96">
        <f>IFERROR('Manpower Projection'!M396*'Manpower Projection'!H396,"")</f>
        <v>0</v>
      </c>
    </row>
    <row r="397" spans="6:15" ht="15" customHeight="1">
      <c r="F397" s="94"/>
      <c r="G397" s="95"/>
      <c r="H397" s="95"/>
      <c r="I397" s="95"/>
      <c r="J397" s="95"/>
      <c r="K397" s="95">
        <f>IFERROR('Manpower Projection'!H397*'Manpower Projection'!I397*'Manpower Projection'!J397,0)</f>
        <v>0</v>
      </c>
      <c r="L397" s="96" cm="1">
        <f t="array" ref="L397">'Manpower Projection'!$L$16</f>
        <v>51.69</v>
      </c>
      <c r="M397" s="96">
        <f>'Manpower Projection'!$M$16</f>
        <v>83.549310344827575</v>
      </c>
      <c r="N397" s="96">
        <f>IFERROR('Manpower Projection'!H397*'Manpower Projection'!L397,"")</f>
        <v>0</v>
      </c>
      <c r="O397" s="96">
        <f>IFERROR('Manpower Projection'!M397*'Manpower Projection'!H397,"")</f>
        <v>0</v>
      </c>
    </row>
    <row r="398" spans="6:15" ht="15" customHeight="1">
      <c r="F398" s="94"/>
      <c r="G398" s="95"/>
      <c r="H398" s="95"/>
      <c r="I398" s="95"/>
      <c r="J398" s="95"/>
      <c r="K398" s="95">
        <f>IFERROR('Manpower Projection'!H398*'Manpower Projection'!I398*'Manpower Projection'!J398,0)</f>
        <v>0</v>
      </c>
      <c r="L398" s="96" cm="1">
        <f t="array" ref="L398">'Manpower Projection'!$L$16</f>
        <v>51.69</v>
      </c>
      <c r="M398" s="96">
        <f>'Manpower Projection'!$M$16</f>
        <v>83.549310344827575</v>
      </c>
      <c r="N398" s="96">
        <f>IFERROR('Manpower Projection'!H398*'Manpower Projection'!L398,"")</f>
        <v>0</v>
      </c>
      <c r="O398" s="96">
        <f>IFERROR('Manpower Projection'!M398*'Manpower Projection'!H398,"")</f>
        <v>0</v>
      </c>
    </row>
    <row r="399" spans="6:15" ht="15" customHeight="1">
      <c r="F399" s="94"/>
      <c r="G399" s="95"/>
      <c r="H399" s="95"/>
      <c r="I399" s="95"/>
      <c r="J399" s="95"/>
      <c r="K399" s="95">
        <f>IFERROR('Manpower Projection'!H399*'Manpower Projection'!I399*'Manpower Projection'!J399,0)</f>
        <v>0</v>
      </c>
      <c r="L399" s="96" cm="1">
        <f t="array" ref="L399">'Manpower Projection'!$L$16</f>
        <v>51.69</v>
      </c>
      <c r="M399" s="96">
        <f>'Manpower Projection'!$M$16</f>
        <v>83.549310344827575</v>
      </c>
      <c r="N399" s="96">
        <f>IFERROR('Manpower Projection'!H399*'Manpower Projection'!L399,"")</f>
        <v>0</v>
      </c>
      <c r="O399" s="96">
        <f>IFERROR('Manpower Projection'!M399*'Manpower Projection'!H399,"")</f>
        <v>0</v>
      </c>
    </row>
    <row r="400" spans="6:15" ht="15" customHeight="1">
      <c r="F400" s="94"/>
      <c r="G400" s="95"/>
      <c r="H400" s="95"/>
      <c r="I400" s="95"/>
      <c r="J400" s="95"/>
      <c r="K400" s="95">
        <f>IFERROR('Manpower Projection'!H400*'Manpower Projection'!I400*'Manpower Projection'!J400,0)</f>
        <v>0</v>
      </c>
      <c r="L400" s="96" cm="1">
        <f t="array" ref="L400">'Manpower Projection'!$L$16</f>
        <v>51.69</v>
      </c>
      <c r="M400" s="96">
        <f>'Manpower Projection'!$M$16</f>
        <v>83.549310344827575</v>
      </c>
      <c r="N400" s="96">
        <f>IFERROR('Manpower Projection'!H400*'Manpower Projection'!L400,"")</f>
        <v>0</v>
      </c>
      <c r="O400" s="96">
        <f>IFERROR('Manpower Projection'!M400*'Manpower Projection'!H400,"")</f>
        <v>0</v>
      </c>
    </row>
    <row r="401" spans="6:15" ht="15" customHeight="1">
      <c r="F401" s="94"/>
      <c r="G401" s="95"/>
      <c r="H401" s="95"/>
      <c r="I401" s="95"/>
      <c r="J401" s="95"/>
      <c r="K401" s="95">
        <f>IFERROR('Manpower Projection'!H401*'Manpower Projection'!I401*'Manpower Projection'!J401,0)</f>
        <v>0</v>
      </c>
      <c r="L401" s="96" cm="1">
        <f t="array" ref="L401">'Manpower Projection'!$L$16</f>
        <v>51.69</v>
      </c>
      <c r="M401" s="96">
        <f>'Manpower Projection'!$M$16</f>
        <v>83.549310344827575</v>
      </c>
      <c r="N401" s="96">
        <f>IFERROR('Manpower Projection'!H401*'Manpower Projection'!L401,"")</f>
        <v>0</v>
      </c>
      <c r="O401" s="96">
        <f>IFERROR('Manpower Projection'!M401*'Manpower Projection'!H401,"")</f>
        <v>0</v>
      </c>
    </row>
    <row r="402" spans="6:15" ht="15" customHeight="1">
      <c r="F402" s="94"/>
      <c r="G402" s="95"/>
      <c r="H402" s="95"/>
      <c r="I402" s="95"/>
      <c r="J402" s="95"/>
      <c r="K402" s="95">
        <f>IFERROR('Manpower Projection'!H402*'Manpower Projection'!I402*'Manpower Projection'!J402,0)</f>
        <v>0</v>
      </c>
      <c r="L402" s="96" cm="1">
        <f t="array" ref="L402">'Manpower Projection'!$L$16</f>
        <v>51.69</v>
      </c>
      <c r="M402" s="96">
        <f>'Manpower Projection'!$M$16</f>
        <v>83.549310344827575</v>
      </c>
      <c r="N402" s="96">
        <f>IFERROR('Manpower Projection'!H402*'Manpower Projection'!L402,"")</f>
        <v>0</v>
      </c>
      <c r="O402" s="96">
        <f>IFERROR('Manpower Projection'!M402*'Manpower Projection'!H402,"")</f>
        <v>0</v>
      </c>
    </row>
    <row r="403" spans="6:15" ht="15" customHeight="1">
      <c r="F403" s="94"/>
      <c r="G403" s="95"/>
      <c r="H403" s="95"/>
      <c r="I403" s="95"/>
      <c r="J403" s="95"/>
      <c r="K403" s="95">
        <f>IFERROR('Manpower Projection'!H403*'Manpower Projection'!I403*'Manpower Projection'!J403,0)</f>
        <v>0</v>
      </c>
      <c r="L403" s="96" cm="1">
        <f t="array" ref="L403">'Manpower Projection'!$L$16</f>
        <v>51.69</v>
      </c>
      <c r="M403" s="96">
        <f>'Manpower Projection'!$M$16</f>
        <v>83.549310344827575</v>
      </c>
      <c r="N403" s="96">
        <f>IFERROR('Manpower Projection'!H403*'Manpower Projection'!L403,"")</f>
        <v>0</v>
      </c>
      <c r="O403" s="96">
        <f>IFERROR('Manpower Projection'!M403*'Manpower Projection'!H403,"")</f>
        <v>0</v>
      </c>
    </row>
    <row r="404" spans="6:15" ht="15" customHeight="1">
      <c r="F404" s="94"/>
      <c r="G404" s="95"/>
      <c r="H404" s="95"/>
      <c r="I404" s="95"/>
      <c r="J404" s="95"/>
      <c r="K404" s="95">
        <f>IFERROR('Manpower Projection'!H404*'Manpower Projection'!I404*'Manpower Projection'!J404,0)</f>
        <v>0</v>
      </c>
      <c r="L404" s="96" cm="1">
        <f t="array" ref="L404">'Manpower Projection'!$L$16</f>
        <v>51.69</v>
      </c>
      <c r="M404" s="96">
        <f>'Manpower Projection'!$M$16</f>
        <v>83.549310344827575</v>
      </c>
      <c r="N404" s="96">
        <f>IFERROR('Manpower Projection'!H404*'Manpower Projection'!L404,"")</f>
        <v>0</v>
      </c>
      <c r="O404" s="96">
        <f>IFERROR('Manpower Projection'!M404*'Manpower Projection'!H404,"")</f>
        <v>0</v>
      </c>
    </row>
    <row r="405" spans="6:15" ht="15" customHeight="1">
      <c r="F405" s="94"/>
      <c r="G405" s="95"/>
      <c r="H405" s="95"/>
      <c r="I405" s="95"/>
      <c r="J405" s="95"/>
      <c r="K405" s="95">
        <f>IFERROR('Manpower Projection'!H405*'Manpower Projection'!I405*'Manpower Projection'!J405,0)</f>
        <v>0</v>
      </c>
      <c r="L405" s="96" cm="1">
        <f t="array" ref="L405">'Manpower Projection'!$L$16</f>
        <v>51.69</v>
      </c>
      <c r="M405" s="96">
        <f>'Manpower Projection'!$M$16</f>
        <v>83.549310344827575</v>
      </c>
      <c r="N405" s="96">
        <f>IFERROR('Manpower Projection'!H405*'Manpower Projection'!L405,"")</f>
        <v>0</v>
      </c>
      <c r="O405" s="96">
        <f>IFERROR('Manpower Projection'!M405*'Manpower Projection'!H405,"")</f>
        <v>0</v>
      </c>
    </row>
    <row r="406" spans="6:15" ht="15" customHeight="1">
      <c r="F406" s="94"/>
      <c r="G406" s="95"/>
      <c r="H406" s="95"/>
      <c r="I406" s="95"/>
      <c r="J406" s="95"/>
      <c r="K406" s="95">
        <f>IFERROR('Manpower Projection'!H406*'Manpower Projection'!I406*'Manpower Projection'!J406,0)</f>
        <v>0</v>
      </c>
      <c r="L406" s="96" cm="1">
        <f t="array" ref="L406">'Manpower Projection'!$L$16</f>
        <v>51.69</v>
      </c>
      <c r="M406" s="96">
        <f>'Manpower Projection'!$M$16</f>
        <v>83.549310344827575</v>
      </c>
      <c r="N406" s="96">
        <f>IFERROR('Manpower Projection'!H406*'Manpower Projection'!L406,"")</f>
        <v>0</v>
      </c>
      <c r="O406" s="96">
        <f>IFERROR('Manpower Projection'!M406*'Manpower Projection'!H406,"")</f>
        <v>0</v>
      </c>
    </row>
    <row r="407" spans="6:15" ht="15" customHeight="1">
      <c r="F407" s="94"/>
      <c r="G407" s="95"/>
      <c r="H407" s="95"/>
      <c r="I407" s="95"/>
      <c r="J407" s="95"/>
      <c r="K407" s="95">
        <f>IFERROR('Manpower Projection'!H407*'Manpower Projection'!I407*'Manpower Projection'!J407,0)</f>
        <v>0</v>
      </c>
      <c r="L407" s="96" cm="1">
        <f t="array" ref="L407">'Manpower Projection'!$L$16</f>
        <v>51.69</v>
      </c>
      <c r="M407" s="96">
        <f>'Manpower Projection'!$M$16</f>
        <v>83.549310344827575</v>
      </c>
      <c r="N407" s="96">
        <f>IFERROR('Manpower Projection'!H407*'Manpower Projection'!L407,"")</f>
        <v>0</v>
      </c>
      <c r="O407" s="96">
        <f>IFERROR('Manpower Projection'!M407*'Manpower Projection'!H407,"")</f>
        <v>0</v>
      </c>
    </row>
    <row r="408" spans="6:15" ht="15" customHeight="1">
      <c r="F408" s="94"/>
      <c r="G408" s="95"/>
      <c r="H408" s="95"/>
      <c r="I408" s="95"/>
      <c r="J408" s="95"/>
      <c r="K408" s="95">
        <f>IFERROR('Manpower Projection'!H408*'Manpower Projection'!I408*'Manpower Projection'!J408,0)</f>
        <v>0</v>
      </c>
      <c r="L408" s="96" cm="1">
        <f t="array" ref="L408">'Manpower Projection'!$L$16</f>
        <v>51.69</v>
      </c>
      <c r="M408" s="96">
        <f>'Manpower Projection'!$M$16</f>
        <v>83.549310344827575</v>
      </c>
      <c r="N408" s="96">
        <f>IFERROR('Manpower Projection'!H408*'Manpower Projection'!L408,"")</f>
        <v>0</v>
      </c>
      <c r="O408" s="96">
        <f>IFERROR('Manpower Projection'!M408*'Manpower Projection'!H408,"")</f>
        <v>0</v>
      </c>
    </row>
    <row r="409" spans="6:15" ht="15" customHeight="1">
      <c r="F409" s="94"/>
      <c r="G409" s="95"/>
      <c r="H409" s="95"/>
      <c r="I409" s="95"/>
      <c r="J409" s="95"/>
      <c r="K409" s="95">
        <f>IFERROR('Manpower Projection'!H409*'Manpower Projection'!I409*'Manpower Projection'!J409,0)</f>
        <v>0</v>
      </c>
      <c r="L409" s="96" cm="1">
        <f t="array" ref="L409">'Manpower Projection'!$L$16</f>
        <v>51.69</v>
      </c>
      <c r="M409" s="96">
        <f>'Manpower Projection'!$M$16</f>
        <v>83.549310344827575</v>
      </c>
      <c r="N409" s="96">
        <f>IFERROR('Manpower Projection'!H409*'Manpower Projection'!L409,"")</f>
        <v>0</v>
      </c>
      <c r="O409" s="96">
        <f>IFERROR('Manpower Projection'!M409*'Manpower Projection'!H409,"")</f>
        <v>0</v>
      </c>
    </row>
    <row r="410" spans="6:15" ht="15" customHeight="1">
      <c r="F410" s="94"/>
      <c r="G410" s="95"/>
      <c r="H410" s="95"/>
      <c r="I410" s="95"/>
      <c r="J410" s="95"/>
      <c r="K410" s="95">
        <f>IFERROR('Manpower Projection'!H410*'Manpower Projection'!I410*'Manpower Projection'!J410,0)</f>
        <v>0</v>
      </c>
      <c r="L410" s="96" cm="1">
        <f t="array" ref="L410">'Manpower Projection'!$L$16</f>
        <v>51.69</v>
      </c>
      <c r="M410" s="96">
        <f>'Manpower Projection'!$M$16</f>
        <v>83.549310344827575</v>
      </c>
      <c r="N410" s="96">
        <f>IFERROR('Manpower Projection'!H410*'Manpower Projection'!L410,"")</f>
        <v>0</v>
      </c>
      <c r="O410" s="96">
        <f>IFERROR('Manpower Projection'!M410*'Manpower Projection'!H410,"")</f>
        <v>0</v>
      </c>
    </row>
    <row r="411" spans="6:15" ht="15" customHeight="1">
      <c r="F411" s="94"/>
      <c r="G411" s="95"/>
      <c r="H411" s="95"/>
      <c r="I411" s="95"/>
      <c r="J411" s="95"/>
      <c r="K411" s="95">
        <f>IFERROR('Manpower Projection'!H411*'Manpower Projection'!I411*'Manpower Projection'!J411,0)</f>
        <v>0</v>
      </c>
      <c r="L411" s="96" cm="1">
        <f t="array" ref="L411">'Manpower Projection'!$L$16</f>
        <v>51.69</v>
      </c>
      <c r="M411" s="96">
        <f>'Manpower Projection'!$M$16</f>
        <v>83.549310344827575</v>
      </c>
      <c r="N411" s="96">
        <f>IFERROR('Manpower Projection'!H411*'Manpower Projection'!L411,"")</f>
        <v>0</v>
      </c>
      <c r="O411" s="96">
        <f>IFERROR('Manpower Projection'!M411*'Manpower Projection'!H411,"")</f>
        <v>0</v>
      </c>
    </row>
    <row r="412" spans="6:15" ht="15" customHeight="1">
      <c r="F412" s="94"/>
      <c r="G412" s="95"/>
      <c r="H412" s="95"/>
      <c r="I412" s="95"/>
      <c r="J412" s="95"/>
      <c r="K412" s="95">
        <f>IFERROR('Manpower Projection'!H412*'Manpower Projection'!I412*'Manpower Projection'!J412,0)</f>
        <v>0</v>
      </c>
      <c r="L412" s="96" cm="1">
        <f t="array" ref="L412">'Manpower Projection'!$L$16</f>
        <v>51.69</v>
      </c>
      <c r="M412" s="96">
        <f>'Manpower Projection'!$M$16</f>
        <v>83.549310344827575</v>
      </c>
      <c r="N412" s="96">
        <f>IFERROR('Manpower Projection'!H412*'Manpower Projection'!L412,"")</f>
        <v>0</v>
      </c>
      <c r="O412" s="96">
        <f>IFERROR('Manpower Projection'!M412*'Manpower Projection'!H412,"")</f>
        <v>0</v>
      </c>
    </row>
    <row r="413" spans="6:15" ht="15" customHeight="1">
      <c r="F413" s="94"/>
      <c r="G413" s="95"/>
      <c r="H413" s="95"/>
      <c r="I413" s="95"/>
      <c r="J413" s="95"/>
      <c r="K413" s="95">
        <f>IFERROR('Manpower Projection'!H413*'Manpower Projection'!I413*'Manpower Projection'!J413,0)</f>
        <v>0</v>
      </c>
      <c r="L413" s="96" cm="1">
        <f t="array" ref="L413">'Manpower Projection'!$L$16</f>
        <v>51.69</v>
      </c>
      <c r="M413" s="96">
        <f>'Manpower Projection'!$M$16</f>
        <v>83.549310344827575</v>
      </c>
      <c r="N413" s="96">
        <f>IFERROR('Manpower Projection'!H413*'Manpower Projection'!L413,"")</f>
        <v>0</v>
      </c>
      <c r="O413" s="96">
        <f>IFERROR('Manpower Projection'!M413*'Manpower Projection'!H413,"")</f>
        <v>0</v>
      </c>
    </row>
    <row r="414" spans="6:15" ht="15" customHeight="1">
      <c r="F414" s="94"/>
      <c r="G414" s="95"/>
      <c r="H414" s="95"/>
      <c r="I414" s="95"/>
      <c r="J414" s="95"/>
      <c r="K414" s="95">
        <f>IFERROR('Manpower Projection'!H414*'Manpower Projection'!I414*'Manpower Projection'!J414,0)</f>
        <v>0</v>
      </c>
      <c r="L414" s="96" cm="1">
        <f t="array" ref="L414">'Manpower Projection'!$L$16</f>
        <v>51.69</v>
      </c>
      <c r="M414" s="96">
        <f>'Manpower Projection'!$M$16</f>
        <v>83.549310344827575</v>
      </c>
      <c r="N414" s="96">
        <f>IFERROR('Manpower Projection'!H414*'Manpower Projection'!L414,"")</f>
        <v>0</v>
      </c>
      <c r="O414" s="96">
        <f>IFERROR('Manpower Projection'!M414*'Manpower Projection'!H414,"")</f>
        <v>0</v>
      </c>
    </row>
    <row r="415" spans="6:15" ht="15" customHeight="1">
      <c r="F415" s="94"/>
      <c r="G415" s="95"/>
      <c r="H415" s="95"/>
      <c r="I415" s="95"/>
      <c r="J415" s="95"/>
      <c r="K415" s="95">
        <f>IFERROR('Manpower Projection'!H415*'Manpower Projection'!I415*'Manpower Projection'!J415,0)</f>
        <v>0</v>
      </c>
      <c r="L415" s="96" cm="1">
        <f t="array" ref="L415">'Manpower Projection'!$L$16</f>
        <v>51.69</v>
      </c>
      <c r="M415" s="96">
        <f>'Manpower Projection'!$M$16</f>
        <v>83.549310344827575</v>
      </c>
      <c r="N415" s="96">
        <f>IFERROR('Manpower Projection'!H415*'Manpower Projection'!L415,"")</f>
        <v>0</v>
      </c>
      <c r="O415" s="96">
        <f>IFERROR('Manpower Projection'!M415*'Manpower Projection'!H415,"")</f>
        <v>0</v>
      </c>
    </row>
    <row r="416" spans="6:15" ht="15" customHeight="1">
      <c r="F416" s="94"/>
      <c r="G416" s="95"/>
      <c r="H416" s="95"/>
      <c r="I416" s="95"/>
      <c r="J416" s="95"/>
      <c r="K416" s="95">
        <f>IFERROR('Manpower Projection'!H416*'Manpower Projection'!I416*'Manpower Projection'!J416,0)</f>
        <v>0</v>
      </c>
      <c r="L416" s="96" cm="1">
        <f t="array" ref="L416">'Manpower Projection'!$L$16</f>
        <v>51.69</v>
      </c>
      <c r="M416" s="96">
        <f>'Manpower Projection'!$M$16</f>
        <v>83.549310344827575</v>
      </c>
      <c r="N416" s="96">
        <f>IFERROR('Manpower Projection'!H416*'Manpower Projection'!L416,"")</f>
        <v>0</v>
      </c>
      <c r="O416" s="96">
        <f>IFERROR('Manpower Projection'!M416*'Manpower Projection'!H416,"")</f>
        <v>0</v>
      </c>
    </row>
    <row r="417" spans="6:15" ht="15" customHeight="1">
      <c r="F417" s="94"/>
      <c r="G417" s="95"/>
      <c r="H417" s="95"/>
      <c r="I417" s="95"/>
      <c r="J417" s="95"/>
      <c r="K417" s="95">
        <f>IFERROR('Manpower Projection'!H417*'Manpower Projection'!I417*'Manpower Projection'!J417,0)</f>
        <v>0</v>
      </c>
      <c r="L417" s="96" cm="1">
        <f t="array" ref="L417">'Manpower Projection'!$L$16</f>
        <v>51.69</v>
      </c>
      <c r="M417" s="96">
        <f>'Manpower Projection'!$M$16</f>
        <v>83.549310344827575</v>
      </c>
      <c r="N417" s="96">
        <f>IFERROR('Manpower Projection'!H417*'Manpower Projection'!L417,"")</f>
        <v>0</v>
      </c>
      <c r="O417" s="96">
        <f>IFERROR('Manpower Projection'!M417*'Manpower Projection'!H417,"")</f>
        <v>0</v>
      </c>
    </row>
    <row r="418" spans="6:15" ht="15" customHeight="1">
      <c r="F418" s="94"/>
      <c r="G418" s="95"/>
      <c r="H418" s="95"/>
      <c r="I418" s="95"/>
      <c r="J418" s="95"/>
      <c r="K418" s="95">
        <f>IFERROR('Manpower Projection'!H418*'Manpower Projection'!I418*'Manpower Projection'!J418,0)</f>
        <v>0</v>
      </c>
      <c r="L418" s="96" cm="1">
        <f t="array" ref="L418">'Manpower Projection'!$L$16</f>
        <v>51.69</v>
      </c>
      <c r="M418" s="96">
        <f>'Manpower Projection'!$M$16</f>
        <v>83.549310344827575</v>
      </c>
      <c r="N418" s="96">
        <f>IFERROR('Manpower Projection'!H418*'Manpower Projection'!L418,"")</f>
        <v>0</v>
      </c>
      <c r="O418" s="96">
        <f>IFERROR('Manpower Projection'!M418*'Manpower Projection'!H418,"")</f>
        <v>0</v>
      </c>
    </row>
    <row r="419" spans="6:15" ht="15" customHeight="1">
      <c r="F419" s="94"/>
      <c r="G419" s="95"/>
      <c r="H419" s="95"/>
      <c r="I419" s="95"/>
      <c r="J419" s="95"/>
      <c r="K419" s="95">
        <f>IFERROR('Manpower Projection'!H419*'Manpower Projection'!I419*'Manpower Projection'!J419,0)</f>
        <v>0</v>
      </c>
      <c r="L419" s="96" cm="1">
        <f t="array" ref="L419">'Manpower Projection'!$L$16</f>
        <v>51.69</v>
      </c>
      <c r="M419" s="96">
        <f>'Manpower Projection'!$M$16</f>
        <v>83.549310344827575</v>
      </c>
      <c r="N419" s="96">
        <f>IFERROR('Manpower Projection'!H419*'Manpower Projection'!L419,"")</f>
        <v>0</v>
      </c>
      <c r="O419" s="96">
        <f>IFERROR('Manpower Projection'!M419*'Manpower Projection'!H419,"")</f>
        <v>0</v>
      </c>
    </row>
    <row r="420" spans="6:15" ht="15" customHeight="1">
      <c r="F420" s="94"/>
      <c r="G420" s="95"/>
      <c r="H420" s="95"/>
      <c r="I420" s="95"/>
      <c r="J420" s="95"/>
      <c r="K420" s="95">
        <f>IFERROR('Manpower Projection'!H420*'Manpower Projection'!I420*'Manpower Projection'!J420,0)</f>
        <v>0</v>
      </c>
      <c r="L420" s="96" cm="1">
        <f t="array" ref="L420">'Manpower Projection'!$L$16</f>
        <v>51.69</v>
      </c>
      <c r="M420" s="96">
        <f>'Manpower Projection'!$M$16</f>
        <v>83.549310344827575</v>
      </c>
      <c r="N420" s="96">
        <f>IFERROR('Manpower Projection'!H420*'Manpower Projection'!L420,"")</f>
        <v>0</v>
      </c>
      <c r="O420" s="96">
        <f>IFERROR('Manpower Projection'!M420*'Manpower Projection'!H420,"")</f>
        <v>0</v>
      </c>
    </row>
    <row r="421" spans="6:15" ht="15" customHeight="1">
      <c r="F421" s="94"/>
      <c r="G421" s="95"/>
      <c r="H421" s="95"/>
      <c r="I421" s="95"/>
      <c r="J421" s="95"/>
      <c r="K421" s="95">
        <f>IFERROR('Manpower Projection'!H421*'Manpower Projection'!I421*'Manpower Projection'!J421,0)</f>
        <v>0</v>
      </c>
      <c r="L421" s="96" cm="1">
        <f t="array" ref="L421">'Manpower Projection'!$L$16</f>
        <v>51.69</v>
      </c>
      <c r="M421" s="96">
        <f>'Manpower Projection'!$M$16</f>
        <v>83.549310344827575</v>
      </c>
      <c r="N421" s="96">
        <f>IFERROR('Manpower Projection'!H421*'Manpower Projection'!L421,"")</f>
        <v>0</v>
      </c>
      <c r="O421" s="96">
        <f>IFERROR('Manpower Projection'!M421*'Manpower Projection'!H421,"")</f>
        <v>0</v>
      </c>
    </row>
    <row r="422" spans="6:15" ht="15" customHeight="1">
      <c r="F422" s="94"/>
      <c r="G422" s="95"/>
      <c r="H422" s="95"/>
      <c r="I422" s="95"/>
      <c r="J422" s="95"/>
      <c r="K422" s="95">
        <f>IFERROR('Manpower Projection'!H422*'Manpower Projection'!I422*'Manpower Projection'!J422,0)</f>
        <v>0</v>
      </c>
      <c r="L422" s="96" cm="1">
        <f t="array" ref="L422">'Manpower Projection'!$L$16</f>
        <v>51.69</v>
      </c>
      <c r="M422" s="96">
        <f>'Manpower Projection'!$M$16</f>
        <v>83.549310344827575</v>
      </c>
      <c r="N422" s="96">
        <f>IFERROR('Manpower Projection'!H422*'Manpower Projection'!L422,"")</f>
        <v>0</v>
      </c>
      <c r="O422" s="96">
        <f>IFERROR('Manpower Projection'!M422*'Manpower Projection'!H422,"")</f>
        <v>0</v>
      </c>
    </row>
    <row r="423" spans="6:15" ht="15" customHeight="1">
      <c r="F423" s="94"/>
      <c r="G423" s="95"/>
      <c r="H423" s="95"/>
      <c r="I423" s="95"/>
      <c r="J423" s="95"/>
      <c r="K423" s="95">
        <f>IFERROR('Manpower Projection'!H423*'Manpower Projection'!I423*'Manpower Projection'!J423,0)</f>
        <v>0</v>
      </c>
      <c r="L423" s="96" cm="1">
        <f t="array" ref="L423">'Manpower Projection'!$L$16</f>
        <v>51.69</v>
      </c>
      <c r="M423" s="96">
        <f>'Manpower Projection'!$M$16</f>
        <v>83.549310344827575</v>
      </c>
      <c r="N423" s="96">
        <f>IFERROR('Manpower Projection'!H423*'Manpower Projection'!L423,"")</f>
        <v>0</v>
      </c>
      <c r="O423" s="96">
        <f>IFERROR('Manpower Projection'!M423*'Manpower Projection'!H423,"")</f>
        <v>0</v>
      </c>
    </row>
    <row r="424" spans="6:15" ht="15" customHeight="1">
      <c r="F424" s="94"/>
      <c r="G424" s="95"/>
      <c r="H424" s="95"/>
      <c r="I424" s="95"/>
      <c r="J424" s="95"/>
      <c r="K424" s="95">
        <f>IFERROR('Manpower Projection'!H424*'Manpower Projection'!I424*'Manpower Projection'!J424,0)</f>
        <v>0</v>
      </c>
      <c r="L424" s="96" cm="1">
        <f t="array" ref="L424">'Manpower Projection'!$L$16</f>
        <v>51.69</v>
      </c>
      <c r="M424" s="96">
        <f>'Manpower Projection'!$M$16</f>
        <v>83.549310344827575</v>
      </c>
      <c r="N424" s="96">
        <f>IFERROR('Manpower Projection'!H424*'Manpower Projection'!L424,"")</f>
        <v>0</v>
      </c>
      <c r="O424" s="96">
        <f>IFERROR('Manpower Projection'!M424*'Manpower Projection'!H424,"")</f>
        <v>0</v>
      </c>
    </row>
    <row r="425" spans="6:15" ht="15" customHeight="1">
      <c r="F425" s="94"/>
      <c r="G425" s="95"/>
      <c r="H425" s="95"/>
      <c r="I425" s="95"/>
      <c r="J425" s="95"/>
      <c r="K425" s="95">
        <f>IFERROR('Manpower Projection'!H425*'Manpower Projection'!I425*'Manpower Projection'!J425,0)</f>
        <v>0</v>
      </c>
      <c r="L425" s="96" cm="1">
        <f t="array" ref="L425">'Manpower Projection'!$L$16</f>
        <v>51.69</v>
      </c>
      <c r="M425" s="96">
        <f>'Manpower Projection'!$M$16</f>
        <v>83.549310344827575</v>
      </c>
      <c r="N425" s="96">
        <f>IFERROR('Manpower Projection'!H425*'Manpower Projection'!L425,"")</f>
        <v>0</v>
      </c>
      <c r="O425" s="96">
        <f>IFERROR('Manpower Projection'!M425*'Manpower Projection'!H425,"")</f>
        <v>0</v>
      </c>
    </row>
    <row r="426" spans="6:15" ht="15" customHeight="1">
      <c r="F426" s="94"/>
      <c r="G426" s="95"/>
      <c r="H426" s="95"/>
      <c r="I426" s="95"/>
      <c r="J426" s="95"/>
      <c r="K426" s="95">
        <f>IFERROR('Manpower Projection'!H426*'Manpower Projection'!I426*'Manpower Projection'!J426,0)</f>
        <v>0</v>
      </c>
      <c r="L426" s="96" cm="1">
        <f t="array" ref="L426">'Manpower Projection'!$L$16</f>
        <v>51.69</v>
      </c>
      <c r="M426" s="96">
        <f>'Manpower Projection'!$M$16</f>
        <v>83.549310344827575</v>
      </c>
      <c r="N426" s="96">
        <f>IFERROR('Manpower Projection'!H426*'Manpower Projection'!L426,"")</f>
        <v>0</v>
      </c>
      <c r="O426" s="96">
        <f>IFERROR('Manpower Projection'!M426*'Manpower Projection'!H426,"")</f>
        <v>0</v>
      </c>
    </row>
    <row r="427" spans="6:15" ht="15" customHeight="1">
      <c r="F427" s="94"/>
      <c r="G427" s="95"/>
      <c r="H427" s="95"/>
      <c r="I427" s="95"/>
      <c r="J427" s="95"/>
      <c r="K427" s="95">
        <f>IFERROR('Manpower Projection'!H427*'Manpower Projection'!I427*'Manpower Projection'!J427,0)</f>
        <v>0</v>
      </c>
      <c r="L427" s="96" cm="1">
        <f t="array" ref="L427">'Manpower Projection'!$L$16</f>
        <v>51.69</v>
      </c>
      <c r="M427" s="96">
        <f>'Manpower Projection'!$M$16</f>
        <v>83.549310344827575</v>
      </c>
      <c r="N427" s="96">
        <f>IFERROR('Manpower Projection'!H427*'Manpower Projection'!L427,"")</f>
        <v>0</v>
      </c>
      <c r="O427" s="96">
        <f>IFERROR('Manpower Projection'!M427*'Manpower Projection'!H427,"")</f>
        <v>0</v>
      </c>
    </row>
    <row r="428" spans="6:15" ht="15" customHeight="1">
      <c r="F428" s="94"/>
      <c r="G428" s="95"/>
      <c r="H428" s="95"/>
      <c r="I428" s="95"/>
      <c r="J428" s="95"/>
      <c r="K428" s="95">
        <f>IFERROR('Manpower Projection'!H428*'Manpower Projection'!I428*'Manpower Projection'!J428,0)</f>
        <v>0</v>
      </c>
      <c r="L428" s="96" cm="1">
        <f t="array" ref="L428">'Manpower Projection'!$L$16</f>
        <v>51.69</v>
      </c>
      <c r="M428" s="96">
        <f>'Manpower Projection'!$M$16</f>
        <v>83.549310344827575</v>
      </c>
      <c r="N428" s="96">
        <f>IFERROR('Manpower Projection'!H428*'Manpower Projection'!L428,"")</f>
        <v>0</v>
      </c>
      <c r="O428" s="96">
        <f>IFERROR('Manpower Projection'!M428*'Manpower Projection'!H428,"")</f>
        <v>0</v>
      </c>
    </row>
    <row r="429" spans="6:15" ht="15" customHeight="1">
      <c r="F429" s="94"/>
      <c r="G429" s="95"/>
      <c r="H429" s="95"/>
      <c r="I429" s="95"/>
      <c r="J429" s="95"/>
      <c r="K429" s="95">
        <f>IFERROR('Manpower Projection'!H429*'Manpower Projection'!I429*'Manpower Projection'!J429,0)</f>
        <v>0</v>
      </c>
      <c r="L429" s="96" cm="1">
        <f t="array" ref="L429">'Manpower Projection'!$L$16</f>
        <v>51.69</v>
      </c>
      <c r="M429" s="96">
        <f>'Manpower Projection'!$M$16</f>
        <v>83.549310344827575</v>
      </c>
      <c r="N429" s="96">
        <f>IFERROR('Manpower Projection'!H429*'Manpower Projection'!L429,"")</f>
        <v>0</v>
      </c>
      <c r="O429" s="96">
        <f>IFERROR('Manpower Projection'!M429*'Manpower Projection'!H429,"")</f>
        <v>0</v>
      </c>
    </row>
    <row r="430" spans="6:15" ht="15" customHeight="1">
      <c r="F430" s="94"/>
      <c r="G430" s="95"/>
      <c r="H430" s="95"/>
      <c r="I430" s="95"/>
      <c r="J430" s="95"/>
      <c r="K430" s="95">
        <f>IFERROR('Manpower Projection'!H430*'Manpower Projection'!I430*'Manpower Projection'!J430,0)</f>
        <v>0</v>
      </c>
      <c r="L430" s="96" cm="1">
        <f t="array" ref="L430">'Manpower Projection'!$L$16</f>
        <v>51.69</v>
      </c>
      <c r="M430" s="96">
        <f>'Manpower Projection'!$M$16</f>
        <v>83.549310344827575</v>
      </c>
      <c r="N430" s="96">
        <f>IFERROR('Manpower Projection'!H430*'Manpower Projection'!L430,"")</f>
        <v>0</v>
      </c>
      <c r="O430" s="96">
        <f>IFERROR('Manpower Projection'!M430*'Manpower Projection'!H430,"")</f>
        <v>0</v>
      </c>
    </row>
    <row r="431" spans="6:15" ht="15" customHeight="1">
      <c r="F431" s="94"/>
      <c r="G431" s="95"/>
      <c r="H431" s="95"/>
      <c r="I431" s="95"/>
      <c r="J431" s="95"/>
      <c r="K431" s="95">
        <f>IFERROR('Manpower Projection'!H431*'Manpower Projection'!I431*'Manpower Projection'!J431,0)</f>
        <v>0</v>
      </c>
      <c r="L431" s="96" cm="1">
        <f t="array" ref="L431">'Manpower Projection'!$L$16</f>
        <v>51.69</v>
      </c>
      <c r="M431" s="96">
        <f>'Manpower Projection'!$M$16</f>
        <v>83.549310344827575</v>
      </c>
      <c r="N431" s="96">
        <f>IFERROR('Manpower Projection'!H431*'Manpower Projection'!L431,"")</f>
        <v>0</v>
      </c>
      <c r="O431" s="96">
        <f>IFERROR('Manpower Projection'!M431*'Manpower Projection'!H431,"")</f>
        <v>0</v>
      </c>
    </row>
    <row r="432" spans="6:15" ht="15" customHeight="1">
      <c r="F432" s="94"/>
      <c r="G432" s="95"/>
      <c r="H432" s="95"/>
      <c r="I432" s="95"/>
      <c r="J432" s="95"/>
      <c r="K432" s="95">
        <f>IFERROR('Manpower Projection'!H432*'Manpower Projection'!I432*'Manpower Projection'!J432,0)</f>
        <v>0</v>
      </c>
      <c r="L432" s="96" cm="1">
        <f t="array" ref="L432">'Manpower Projection'!$L$16</f>
        <v>51.69</v>
      </c>
      <c r="M432" s="96">
        <f>'Manpower Projection'!$M$16</f>
        <v>83.549310344827575</v>
      </c>
      <c r="N432" s="96">
        <f>IFERROR('Manpower Projection'!H432*'Manpower Projection'!L432,"")</f>
        <v>0</v>
      </c>
      <c r="O432" s="96">
        <f>IFERROR('Manpower Projection'!M432*'Manpower Projection'!H432,"")</f>
        <v>0</v>
      </c>
    </row>
    <row r="433" spans="6:15" ht="15" customHeight="1">
      <c r="F433" s="94"/>
      <c r="G433" s="95"/>
      <c r="H433" s="95"/>
      <c r="I433" s="95"/>
      <c r="J433" s="95"/>
      <c r="K433" s="95">
        <f>IFERROR('Manpower Projection'!H433*'Manpower Projection'!I433*'Manpower Projection'!J433,0)</f>
        <v>0</v>
      </c>
      <c r="L433" s="96" cm="1">
        <f t="array" ref="L433">'Manpower Projection'!$L$16</f>
        <v>51.69</v>
      </c>
      <c r="M433" s="96">
        <f>'Manpower Projection'!$M$16</f>
        <v>83.549310344827575</v>
      </c>
      <c r="N433" s="96">
        <f>IFERROR('Manpower Projection'!H433*'Manpower Projection'!L433,"")</f>
        <v>0</v>
      </c>
      <c r="O433" s="96">
        <f>IFERROR('Manpower Projection'!M433*'Manpower Projection'!H433,"")</f>
        <v>0</v>
      </c>
    </row>
    <row r="434" spans="6:15" ht="15" customHeight="1">
      <c r="F434" s="94"/>
      <c r="G434" s="95"/>
      <c r="H434" s="95"/>
      <c r="I434" s="95"/>
      <c r="J434" s="95"/>
      <c r="K434" s="95">
        <f>IFERROR('Manpower Projection'!H434*'Manpower Projection'!I434*'Manpower Projection'!J434,0)</f>
        <v>0</v>
      </c>
      <c r="L434" s="96" cm="1">
        <f t="array" ref="L434">'Manpower Projection'!$L$16</f>
        <v>51.69</v>
      </c>
      <c r="M434" s="96">
        <f>'Manpower Projection'!$M$16</f>
        <v>83.549310344827575</v>
      </c>
      <c r="N434" s="96">
        <f>IFERROR('Manpower Projection'!H434*'Manpower Projection'!L434,"")</f>
        <v>0</v>
      </c>
      <c r="O434" s="96">
        <f>IFERROR('Manpower Projection'!M434*'Manpower Projection'!H434,"")</f>
        <v>0</v>
      </c>
    </row>
    <row r="435" spans="6:15" ht="15" customHeight="1">
      <c r="F435" s="94"/>
      <c r="G435" s="95"/>
      <c r="H435" s="95"/>
      <c r="I435" s="95"/>
      <c r="J435" s="95"/>
      <c r="K435" s="95">
        <f>IFERROR('Manpower Projection'!H435*'Manpower Projection'!I435*'Manpower Projection'!J435,0)</f>
        <v>0</v>
      </c>
      <c r="L435" s="96" cm="1">
        <f t="array" ref="L435">'Manpower Projection'!$L$16</f>
        <v>51.69</v>
      </c>
      <c r="M435" s="96">
        <f>'Manpower Projection'!$M$16</f>
        <v>83.549310344827575</v>
      </c>
      <c r="N435" s="96">
        <f>IFERROR('Manpower Projection'!H435*'Manpower Projection'!L435,"")</f>
        <v>0</v>
      </c>
      <c r="O435" s="96">
        <f>IFERROR('Manpower Projection'!M435*'Manpower Projection'!H435,"")</f>
        <v>0</v>
      </c>
    </row>
    <row r="436" spans="6:15" ht="15" customHeight="1">
      <c r="F436" s="94"/>
      <c r="G436" s="95"/>
      <c r="H436" s="95"/>
      <c r="I436" s="95"/>
      <c r="J436" s="95"/>
      <c r="K436" s="95">
        <f>IFERROR('Manpower Projection'!H436*'Manpower Projection'!I436*'Manpower Projection'!J436,0)</f>
        <v>0</v>
      </c>
      <c r="L436" s="96" cm="1">
        <f t="array" ref="L436">'Manpower Projection'!$L$16</f>
        <v>51.69</v>
      </c>
      <c r="M436" s="96">
        <f>'Manpower Projection'!$M$16</f>
        <v>83.549310344827575</v>
      </c>
      <c r="N436" s="96">
        <f>IFERROR('Manpower Projection'!H436*'Manpower Projection'!L436,"")</f>
        <v>0</v>
      </c>
      <c r="O436" s="96">
        <f>IFERROR('Manpower Projection'!M436*'Manpower Projection'!H436,"")</f>
        <v>0</v>
      </c>
    </row>
    <row r="437" spans="6:15" ht="15" customHeight="1">
      <c r="F437" s="94"/>
      <c r="G437" s="95"/>
      <c r="H437" s="95"/>
      <c r="I437" s="95"/>
      <c r="J437" s="95"/>
      <c r="K437" s="95">
        <f>IFERROR('Manpower Projection'!H437*'Manpower Projection'!I437*'Manpower Projection'!J437,0)</f>
        <v>0</v>
      </c>
      <c r="L437" s="96" cm="1">
        <f t="array" ref="L437">'Manpower Projection'!$L$16</f>
        <v>51.69</v>
      </c>
      <c r="M437" s="96">
        <f>'Manpower Projection'!$M$16</f>
        <v>83.549310344827575</v>
      </c>
      <c r="N437" s="96">
        <f>IFERROR('Manpower Projection'!H437*'Manpower Projection'!L437,"")</f>
        <v>0</v>
      </c>
      <c r="O437" s="96">
        <f>IFERROR('Manpower Projection'!M437*'Manpower Projection'!H437,"")</f>
        <v>0</v>
      </c>
    </row>
    <row r="438" spans="6:15" ht="15" customHeight="1">
      <c r="F438" s="94"/>
      <c r="G438" s="95"/>
      <c r="H438" s="95"/>
      <c r="I438" s="95"/>
      <c r="J438" s="95"/>
      <c r="K438" s="95">
        <f>IFERROR('Manpower Projection'!H438*'Manpower Projection'!I438*'Manpower Projection'!J438,0)</f>
        <v>0</v>
      </c>
      <c r="L438" s="96" cm="1">
        <f t="array" ref="L438">'Manpower Projection'!$L$16</f>
        <v>51.69</v>
      </c>
      <c r="M438" s="96">
        <f>'Manpower Projection'!$M$16</f>
        <v>83.549310344827575</v>
      </c>
      <c r="N438" s="96">
        <f>IFERROR('Manpower Projection'!H438*'Manpower Projection'!L438,"")</f>
        <v>0</v>
      </c>
      <c r="O438" s="96">
        <f>IFERROR('Manpower Projection'!M438*'Manpower Projection'!H438,"")</f>
        <v>0</v>
      </c>
    </row>
    <row r="439" spans="6:15" ht="15" customHeight="1">
      <c r="F439" s="94"/>
      <c r="G439" s="95"/>
      <c r="H439" s="95"/>
      <c r="I439" s="95"/>
      <c r="J439" s="95"/>
      <c r="K439" s="95">
        <f>IFERROR('Manpower Projection'!H439*'Manpower Projection'!I439*'Manpower Projection'!J439,0)</f>
        <v>0</v>
      </c>
      <c r="L439" s="96" cm="1">
        <f t="array" ref="L439">'Manpower Projection'!$L$16</f>
        <v>51.69</v>
      </c>
      <c r="M439" s="96">
        <f>'Manpower Projection'!$M$16</f>
        <v>83.549310344827575</v>
      </c>
      <c r="N439" s="96">
        <f>IFERROR('Manpower Projection'!H439*'Manpower Projection'!L439,"")</f>
        <v>0</v>
      </c>
      <c r="O439" s="96">
        <f>IFERROR('Manpower Projection'!M439*'Manpower Projection'!H439,"")</f>
        <v>0</v>
      </c>
    </row>
    <row r="440" spans="6:15" ht="15" customHeight="1">
      <c r="F440" s="94"/>
      <c r="G440" s="95"/>
      <c r="H440" s="95"/>
      <c r="I440" s="95"/>
      <c r="J440" s="95"/>
      <c r="K440" s="95">
        <f>IFERROR('Manpower Projection'!H440*'Manpower Projection'!I440*'Manpower Projection'!J440,0)</f>
        <v>0</v>
      </c>
      <c r="L440" s="96" cm="1">
        <f t="array" ref="L440">'Manpower Projection'!$L$16</f>
        <v>51.69</v>
      </c>
      <c r="M440" s="96">
        <f>'Manpower Projection'!$M$16</f>
        <v>83.549310344827575</v>
      </c>
      <c r="N440" s="96">
        <f>IFERROR('Manpower Projection'!H440*'Manpower Projection'!L440,"")</f>
        <v>0</v>
      </c>
      <c r="O440" s="96">
        <f>IFERROR('Manpower Projection'!M440*'Manpower Projection'!H440,"")</f>
        <v>0</v>
      </c>
    </row>
    <row r="441" spans="6:15" ht="15" customHeight="1">
      <c r="F441" s="94"/>
      <c r="G441" s="95"/>
      <c r="H441" s="95"/>
      <c r="I441" s="95"/>
      <c r="J441" s="95"/>
      <c r="K441" s="95">
        <f>IFERROR('Manpower Projection'!H441*'Manpower Projection'!I441*'Manpower Projection'!J441,0)</f>
        <v>0</v>
      </c>
      <c r="L441" s="96" cm="1">
        <f t="array" ref="L441">'Manpower Projection'!$L$16</f>
        <v>51.69</v>
      </c>
      <c r="M441" s="96">
        <f>'Manpower Projection'!$M$16</f>
        <v>83.549310344827575</v>
      </c>
      <c r="N441" s="96">
        <f>IFERROR('Manpower Projection'!H441*'Manpower Projection'!L441,"")</f>
        <v>0</v>
      </c>
      <c r="O441" s="96">
        <f>IFERROR('Manpower Projection'!M441*'Manpower Projection'!H441,"")</f>
        <v>0</v>
      </c>
    </row>
    <row r="442" spans="6:15" ht="15" customHeight="1">
      <c r="F442" s="94"/>
      <c r="G442" s="95"/>
      <c r="H442" s="95"/>
      <c r="I442" s="95"/>
      <c r="J442" s="95"/>
      <c r="K442" s="95">
        <f>IFERROR('Manpower Projection'!H442*'Manpower Projection'!I442*'Manpower Projection'!J442,0)</f>
        <v>0</v>
      </c>
      <c r="L442" s="96" cm="1">
        <f t="array" ref="L442">'Manpower Projection'!$L$16</f>
        <v>51.69</v>
      </c>
      <c r="M442" s="96">
        <f>'Manpower Projection'!$M$16</f>
        <v>83.549310344827575</v>
      </c>
      <c r="N442" s="96">
        <f>IFERROR('Manpower Projection'!H442*'Manpower Projection'!L442,"")</f>
        <v>0</v>
      </c>
      <c r="O442" s="96">
        <f>IFERROR('Manpower Projection'!M442*'Manpower Projection'!H442,"")</f>
        <v>0</v>
      </c>
    </row>
    <row r="443" spans="6:15" ht="15" customHeight="1">
      <c r="F443" s="94"/>
      <c r="G443" s="95"/>
      <c r="H443" s="95"/>
      <c r="I443" s="95"/>
      <c r="J443" s="95"/>
      <c r="K443" s="95">
        <f>IFERROR('Manpower Projection'!H443*'Manpower Projection'!I443*'Manpower Projection'!J443,0)</f>
        <v>0</v>
      </c>
      <c r="L443" s="96" cm="1">
        <f t="array" ref="L443">'Manpower Projection'!$L$16</f>
        <v>51.69</v>
      </c>
      <c r="M443" s="96">
        <f>'Manpower Projection'!$M$16</f>
        <v>83.549310344827575</v>
      </c>
      <c r="N443" s="96">
        <f>IFERROR('Manpower Projection'!H443*'Manpower Projection'!L443,"")</f>
        <v>0</v>
      </c>
      <c r="O443" s="96">
        <f>IFERROR('Manpower Projection'!M443*'Manpower Projection'!H443,"")</f>
        <v>0</v>
      </c>
    </row>
    <row r="444" spans="6:15" ht="15" customHeight="1">
      <c r="F444" s="94"/>
      <c r="G444" s="95"/>
      <c r="H444" s="95"/>
      <c r="I444" s="95"/>
      <c r="J444" s="95"/>
      <c r="K444" s="95">
        <f>IFERROR('Manpower Projection'!H444*'Manpower Projection'!I444*'Manpower Projection'!J444,0)</f>
        <v>0</v>
      </c>
      <c r="L444" s="96" cm="1">
        <f t="array" ref="L444">'Manpower Projection'!$L$16</f>
        <v>51.69</v>
      </c>
      <c r="M444" s="96">
        <f>'Manpower Projection'!$M$16</f>
        <v>83.549310344827575</v>
      </c>
      <c r="N444" s="96">
        <f>IFERROR('Manpower Projection'!H444*'Manpower Projection'!L444,"")</f>
        <v>0</v>
      </c>
      <c r="O444" s="96">
        <f>IFERROR('Manpower Projection'!M444*'Manpower Projection'!H444,"")</f>
        <v>0</v>
      </c>
    </row>
    <row r="445" spans="6:15" ht="15" customHeight="1">
      <c r="F445" s="94"/>
      <c r="G445" s="95"/>
      <c r="H445" s="95"/>
      <c r="I445" s="95"/>
      <c r="J445" s="95"/>
      <c r="K445" s="95">
        <f>IFERROR('Manpower Projection'!H445*'Manpower Projection'!I445*'Manpower Projection'!J445,0)</f>
        <v>0</v>
      </c>
      <c r="L445" s="96" cm="1">
        <f t="array" ref="L445">'Manpower Projection'!$L$16</f>
        <v>51.69</v>
      </c>
      <c r="M445" s="96">
        <f>'Manpower Projection'!$M$16</f>
        <v>83.549310344827575</v>
      </c>
      <c r="N445" s="96">
        <f>IFERROR('Manpower Projection'!H445*'Manpower Projection'!L445,"")</f>
        <v>0</v>
      </c>
      <c r="O445" s="96">
        <f>IFERROR('Manpower Projection'!M445*'Manpower Projection'!H445,"")</f>
        <v>0</v>
      </c>
    </row>
    <row r="446" spans="6:15" ht="15" customHeight="1">
      <c r="F446" s="94"/>
      <c r="G446" s="95"/>
      <c r="H446" s="95"/>
      <c r="I446" s="95"/>
      <c r="J446" s="95"/>
      <c r="K446" s="95">
        <f>IFERROR('Manpower Projection'!H446*'Manpower Projection'!I446*'Manpower Projection'!J446,0)</f>
        <v>0</v>
      </c>
      <c r="L446" s="96" cm="1">
        <f t="array" ref="L446">'Manpower Projection'!$L$16</f>
        <v>51.69</v>
      </c>
      <c r="M446" s="96">
        <f>'Manpower Projection'!$M$16</f>
        <v>83.549310344827575</v>
      </c>
      <c r="N446" s="96">
        <f>IFERROR('Manpower Projection'!H446*'Manpower Projection'!L446,"")</f>
        <v>0</v>
      </c>
      <c r="O446" s="96">
        <f>IFERROR('Manpower Projection'!M446*'Manpower Projection'!H446,"")</f>
        <v>0</v>
      </c>
    </row>
    <row r="447" spans="6:15" ht="15" customHeight="1">
      <c r="F447" s="94"/>
      <c r="G447" s="95"/>
      <c r="H447" s="95"/>
      <c r="I447" s="95"/>
      <c r="J447" s="95"/>
      <c r="K447" s="95">
        <f>IFERROR('Manpower Projection'!H447*'Manpower Projection'!I447*'Manpower Projection'!J447,0)</f>
        <v>0</v>
      </c>
      <c r="L447" s="96" cm="1">
        <f t="array" ref="L447">'Manpower Projection'!$L$16</f>
        <v>51.69</v>
      </c>
      <c r="M447" s="96">
        <f>'Manpower Projection'!$M$16</f>
        <v>83.549310344827575</v>
      </c>
      <c r="N447" s="96">
        <f>IFERROR('Manpower Projection'!H447*'Manpower Projection'!L447,"")</f>
        <v>0</v>
      </c>
      <c r="O447" s="96">
        <f>IFERROR('Manpower Projection'!M447*'Manpower Projection'!H447,"")</f>
        <v>0</v>
      </c>
    </row>
    <row r="448" spans="6:15" ht="15" customHeight="1">
      <c r="F448" s="94"/>
      <c r="G448" s="95"/>
      <c r="H448" s="95"/>
      <c r="I448" s="95"/>
      <c r="J448" s="95"/>
      <c r="K448" s="95">
        <f>IFERROR('Manpower Projection'!H448*'Manpower Projection'!I448*'Manpower Projection'!J448,0)</f>
        <v>0</v>
      </c>
      <c r="L448" s="96" cm="1">
        <f t="array" ref="L448">'Manpower Projection'!$L$16</f>
        <v>51.69</v>
      </c>
      <c r="M448" s="96">
        <f>'Manpower Projection'!$M$16</f>
        <v>83.549310344827575</v>
      </c>
      <c r="N448" s="96">
        <f>IFERROR('Manpower Projection'!H448*'Manpower Projection'!L448,"")</f>
        <v>0</v>
      </c>
      <c r="O448" s="96">
        <f>IFERROR('Manpower Projection'!M448*'Manpower Projection'!H448,"")</f>
        <v>0</v>
      </c>
    </row>
    <row r="449" spans="6:15" ht="15" customHeight="1">
      <c r="F449" s="94"/>
      <c r="G449" s="95"/>
      <c r="H449" s="95"/>
      <c r="I449" s="95"/>
      <c r="J449" s="95"/>
      <c r="K449" s="95">
        <f>IFERROR('Manpower Projection'!H449*'Manpower Projection'!I449*'Manpower Projection'!J449,0)</f>
        <v>0</v>
      </c>
      <c r="L449" s="96" cm="1">
        <f t="array" ref="L449">'Manpower Projection'!$L$16</f>
        <v>51.69</v>
      </c>
      <c r="M449" s="96">
        <f>'Manpower Projection'!$M$16</f>
        <v>83.549310344827575</v>
      </c>
      <c r="N449" s="96">
        <f>IFERROR('Manpower Projection'!H449*'Manpower Projection'!L449,"")</f>
        <v>0</v>
      </c>
      <c r="O449" s="96">
        <f>IFERROR('Manpower Projection'!M449*'Manpower Projection'!H449,"")</f>
        <v>0</v>
      </c>
    </row>
    <row r="450" spans="6:15" ht="15" customHeight="1">
      <c r="F450" s="94"/>
      <c r="G450" s="95"/>
      <c r="H450" s="95"/>
      <c r="I450" s="95"/>
      <c r="J450" s="95"/>
      <c r="K450" s="95">
        <f>IFERROR('Manpower Projection'!H450*'Manpower Projection'!I450*'Manpower Projection'!J450,0)</f>
        <v>0</v>
      </c>
      <c r="L450" s="96" cm="1">
        <f t="array" ref="L450">'Manpower Projection'!$L$16</f>
        <v>51.69</v>
      </c>
      <c r="M450" s="96">
        <f>'Manpower Projection'!$M$16</f>
        <v>83.549310344827575</v>
      </c>
      <c r="N450" s="96">
        <f>IFERROR('Manpower Projection'!H450*'Manpower Projection'!L450,"")</f>
        <v>0</v>
      </c>
      <c r="O450" s="96">
        <f>IFERROR('Manpower Projection'!M450*'Manpower Projection'!H450,"")</f>
        <v>0</v>
      </c>
    </row>
    <row r="451" spans="6:15" ht="15" customHeight="1">
      <c r="F451" s="94"/>
      <c r="G451" s="95"/>
      <c r="H451" s="95"/>
      <c r="I451" s="95"/>
      <c r="J451" s="95"/>
      <c r="K451" s="95">
        <f>IFERROR('Manpower Projection'!H451*'Manpower Projection'!I451*'Manpower Projection'!J451,0)</f>
        <v>0</v>
      </c>
      <c r="L451" s="96" cm="1">
        <f t="array" ref="L451">'Manpower Projection'!$L$16</f>
        <v>51.69</v>
      </c>
      <c r="M451" s="96">
        <f>'Manpower Projection'!$M$16</f>
        <v>83.549310344827575</v>
      </c>
      <c r="N451" s="96">
        <f>IFERROR('Manpower Projection'!H451*'Manpower Projection'!L451,"")</f>
        <v>0</v>
      </c>
      <c r="O451" s="96">
        <f>IFERROR('Manpower Projection'!M451*'Manpower Projection'!H451,"")</f>
        <v>0</v>
      </c>
    </row>
    <row r="452" spans="6:15" ht="15" customHeight="1">
      <c r="F452" s="94"/>
      <c r="G452" s="95"/>
      <c r="H452" s="95"/>
      <c r="I452" s="95"/>
      <c r="J452" s="95"/>
      <c r="K452" s="95">
        <f>IFERROR('Manpower Projection'!H452*'Manpower Projection'!I452*'Manpower Projection'!J452,0)</f>
        <v>0</v>
      </c>
      <c r="L452" s="96" cm="1">
        <f t="array" ref="L452">'Manpower Projection'!$L$16</f>
        <v>51.69</v>
      </c>
      <c r="M452" s="96">
        <f>'Manpower Projection'!$M$16</f>
        <v>83.549310344827575</v>
      </c>
      <c r="N452" s="96">
        <f>IFERROR('Manpower Projection'!H452*'Manpower Projection'!L452,"")</f>
        <v>0</v>
      </c>
      <c r="O452" s="96">
        <f>IFERROR('Manpower Projection'!M452*'Manpower Projection'!H452,"")</f>
        <v>0</v>
      </c>
    </row>
    <row r="453" spans="6:15" ht="15" customHeight="1">
      <c r="F453" s="94"/>
      <c r="G453" s="95"/>
      <c r="H453" s="95"/>
      <c r="I453" s="95"/>
      <c r="J453" s="95"/>
      <c r="K453" s="95">
        <f>IFERROR('Manpower Projection'!H453*'Manpower Projection'!I453*'Manpower Projection'!J453,0)</f>
        <v>0</v>
      </c>
      <c r="L453" s="96" cm="1">
        <f t="array" ref="L453">'Manpower Projection'!$L$16</f>
        <v>51.69</v>
      </c>
      <c r="M453" s="96">
        <f>'Manpower Projection'!$M$16</f>
        <v>83.549310344827575</v>
      </c>
      <c r="N453" s="96">
        <f>IFERROR('Manpower Projection'!H453*'Manpower Projection'!L453,"")</f>
        <v>0</v>
      </c>
      <c r="O453" s="96">
        <f>IFERROR('Manpower Projection'!M453*'Manpower Projection'!H453,"")</f>
        <v>0</v>
      </c>
    </row>
    <row r="454" spans="6:15" ht="15" customHeight="1">
      <c r="F454" s="94"/>
      <c r="G454" s="95"/>
      <c r="H454" s="95"/>
      <c r="I454" s="95"/>
      <c r="J454" s="95"/>
      <c r="K454" s="95">
        <f>IFERROR('Manpower Projection'!H454*'Manpower Projection'!I454*'Manpower Projection'!J454,0)</f>
        <v>0</v>
      </c>
      <c r="L454" s="96" cm="1">
        <f t="array" ref="L454">'Manpower Projection'!$L$16</f>
        <v>51.69</v>
      </c>
      <c r="M454" s="96">
        <f>'Manpower Projection'!$M$16</f>
        <v>83.549310344827575</v>
      </c>
      <c r="N454" s="96">
        <f>IFERROR('Manpower Projection'!H454*'Manpower Projection'!L454,"")</f>
        <v>0</v>
      </c>
      <c r="O454" s="96">
        <f>IFERROR('Manpower Projection'!M454*'Manpower Projection'!H454,"")</f>
        <v>0</v>
      </c>
    </row>
    <row r="455" spans="6:15" ht="15" customHeight="1">
      <c r="F455" s="94"/>
      <c r="G455" s="95"/>
      <c r="H455" s="95"/>
      <c r="I455" s="95"/>
      <c r="J455" s="95"/>
      <c r="K455" s="95">
        <f>IFERROR('Manpower Projection'!H455*'Manpower Projection'!I455*'Manpower Projection'!J455,0)</f>
        <v>0</v>
      </c>
      <c r="L455" s="96" cm="1">
        <f t="array" ref="L455">'Manpower Projection'!$L$16</f>
        <v>51.69</v>
      </c>
      <c r="M455" s="96">
        <f>'Manpower Projection'!$M$16</f>
        <v>83.549310344827575</v>
      </c>
      <c r="N455" s="96">
        <f>IFERROR('Manpower Projection'!H455*'Manpower Projection'!L455,"")</f>
        <v>0</v>
      </c>
      <c r="O455" s="96">
        <f>IFERROR('Manpower Projection'!M455*'Manpower Projection'!H455,"")</f>
        <v>0</v>
      </c>
    </row>
    <row r="456" spans="6:15" ht="15" customHeight="1">
      <c r="F456" s="94"/>
      <c r="G456" s="95"/>
      <c r="H456" s="95"/>
      <c r="I456" s="95"/>
      <c r="J456" s="95"/>
      <c r="K456" s="95">
        <f>IFERROR('Manpower Projection'!H456*'Manpower Projection'!I456*'Manpower Projection'!J456,0)</f>
        <v>0</v>
      </c>
      <c r="L456" s="96" cm="1">
        <f t="array" ref="L456">'Manpower Projection'!$L$16</f>
        <v>51.69</v>
      </c>
      <c r="M456" s="96">
        <f>'Manpower Projection'!$M$16</f>
        <v>83.549310344827575</v>
      </c>
      <c r="N456" s="96">
        <f>IFERROR('Manpower Projection'!H456*'Manpower Projection'!L456,"")</f>
        <v>0</v>
      </c>
      <c r="O456" s="96">
        <f>IFERROR('Manpower Projection'!M456*'Manpower Projection'!H456,"")</f>
        <v>0</v>
      </c>
    </row>
    <row r="457" spans="6:15" ht="15" customHeight="1">
      <c r="F457" s="94"/>
      <c r="G457" s="95"/>
      <c r="H457" s="95"/>
      <c r="I457" s="95"/>
      <c r="J457" s="95"/>
      <c r="K457" s="95">
        <f>IFERROR('Manpower Projection'!H457*'Manpower Projection'!I457*'Manpower Projection'!J457,0)</f>
        <v>0</v>
      </c>
      <c r="L457" s="96" cm="1">
        <f t="array" ref="L457">'Manpower Projection'!$L$16</f>
        <v>51.69</v>
      </c>
      <c r="M457" s="96">
        <f>'Manpower Projection'!$M$16</f>
        <v>83.549310344827575</v>
      </c>
      <c r="N457" s="96">
        <f>IFERROR('Manpower Projection'!H457*'Manpower Projection'!L457,"")</f>
        <v>0</v>
      </c>
      <c r="O457" s="96">
        <f>IFERROR('Manpower Projection'!M457*'Manpower Projection'!H457,"")</f>
        <v>0</v>
      </c>
    </row>
    <row r="458" spans="6:15" ht="15" customHeight="1">
      <c r="F458" s="94"/>
      <c r="G458" s="95"/>
      <c r="H458" s="95"/>
      <c r="I458" s="95"/>
      <c r="J458" s="95"/>
      <c r="K458" s="95">
        <f>IFERROR('Manpower Projection'!H458*'Manpower Projection'!I458*'Manpower Projection'!J458,0)</f>
        <v>0</v>
      </c>
      <c r="L458" s="96" cm="1">
        <f t="array" ref="L458">'Manpower Projection'!$L$16</f>
        <v>51.69</v>
      </c>
      <c r="M458" s="96">
        <f>'Manpower Projection'!$M$16</f>
        <v>83.549310344827575</v>
      </c>
      <c r="N458" s="96">
        <f>IFERROR('Manpower Projection'!H458*'Manpower Projection'!L458,"")</f>
        <v>0</v>
      </c>
      <c r="O458" s="96">
        <f>IFERROR('Manpower Projection'!M458*'Manpower Projection'!H458,"")</f>
        <v>0</v>
      </c>
    </row>
    <row r="459" spans="6:15" ht="15" customHeight="1">
      <c r="F459" s="94"/>
      <c r="G459" s="95"/>
      <c r="H459" s="95"/>
      <c r="I459" s="95"/>
      <c r="J459" s="95"/>
      <c r="K459" s="95">
        <f>IFERROR('Manpower Projection'!H459*'Manpower Projection'!I459*'Manpower Projection'!J459,0)</f>
        <v>0</v>
      </c>
      <c r="L459" s="96" cm="1">
        <f t="array" ref="L459">'Manpower Projection'!$L$16</f>
        <v>51.69</v>
      </c>
      <c r="M459" s="96">
        <f>'Manpower Projection'!$M$16</f>
        <v>83.549310344827575</v>
      </c>
      <c r="N459" s="96">
        <f>IFERROR('Manpower Projection'!H459*'Manpower Projection'!L459,"")</f>
        <v>0</v>
      </c>
      <c r="O459" s="96">
        <f>IFERROR('Manpower Projection'!M459*'Manpower Projection'!H459,"")</f>
        <v>0</v>
      </c>
    </row>
    <row r="460" spans="6:15" ht="15" customHeight="1">
      <c r="F460" s="94"/>
      <c r="G460" s="95"/>
      <c r="H460" s="95"/>
      <c r="I460" s="95"/>
      <c r="J460" s="95"/>
      <c r="K460" s="95">
        <f>IFERROR('Manpower Projection'!H460*'Manpower Projection'!I460*'Manpower Projection'!J460,0)</f>
        <v>0</v>
      </c>
      <c r="L460" s="96" cm="1">
        <f t="array" ref="L460">'Manpower Projection'!$L$16</f>
        <v>51.69</v>
      </c>
      <c r="M460" s="96">
        <f>'Manpower Projection'!$M$16</f>
        <v>83.549310344827575</v>
      </c>
      <c r="N460" s="96">
        <f>IFERROR('Manpower Projection'!H460*'Manpower Projection'!L460,"")</f>
        <v>0</v>
      </c>
      <c r="O460" s="96">
        <f>IFERROR('Manpower Projection'!M460*'Manpower Projection'!H460,"")</f>
        <v>0</v>
      </c>
    </row>
    <row r="461" spans="6:15" ht="15" customHeight="1">
      <c r="F461" s="94"/>
      <c r="G461" s="95"/>
      <c r="H461" s="95"/>
      <c r="I461" s="95"/>
      <c r="J461" s="95"/>
      <c r="K461" s="95">
        <f>IFERROR('Manpower Projection'!H461*'Manpower Projection'!I461*'Manpower Projection'!J461,0)</f>
        <v>0</v>
      </c>
      <c r="L461" s="96" cm="1">
        <f t="array" ref="L461">'Manpower Projection'!$L$16</f>
        <v>51.69</v>
      </c>
      <c r="M461" s="96">
        <f>'Manpower Projection'!$M$16</f>
        <v>83.549310344827575</v>
      </c>
      <c r="N461" s="96">
        <f>IFERROR('Manpower Projection'!H461*'Manpower Projection'!L461,"")</f>
        <v>0</v>
      </c>
      <c r="O461" s="96">
        <f>IFERROR('Manpower Projection'!M461*'Manpower Projection'!H461,"")</f>
        <v>0</v>
      </c>
    </row>
    <row r="462" spans="6:15" ht="15" customHeight="1">
      <c r="F462" s="94"/>
      <c r="G462" s="95"/>
      <c r="H462" s="95"/>
      <c r="I462" s="95"/>
      <c r="J462" s="95"/>
      <c r="K462" s="95">
        <f>IFERROR('Manpower Projection'!H462*'Manpower Projection'!I462*'Manpower Projection'!J462,0)</f>
        <v>0</v>
      </c>
      <c r="L462" s="96" cm="1">
        <f t="array" ref="L462">'Manpower Projection'!$L$16</f>
        <v>51.69</v>
      </c>
      <c r="M462" s="96">
        <f>'Manpower Projection'!$M$16</f>
        <v>83.549310344827575</v>
      </c>
      <c r="N462" s="96">
        <f>IFERROR('Manpower Projection'!H462*'Manpower Projection'!L462,"")</f>
        <v>0</v>
      </c>
      <c r="O462" s="96">
        <f>IFERROR('Manpower Projection'!M462*'Manpower Projection'!H462,"")</f>
        <v>0</v>
      </c>
    </row>
    <row r="463" spans="6:15" ht="15" customHeight="1">
      <c r="F463" s="94"/>
      <c r="G463" s="95"/>
      <c r="H463" s="95"/>
      <c r="I463" s="95"/>
      <c r="J463" s="95"/>
      <c r="K463" s="95">
        <f>IFERROR('Manpower Projection'!H463*'Manpower Projection'!I463*'Manpower Projection'!J463,0)</f>
        <v>0</v>
      </c>
      <c r="L463" s="96" cm="1">
        <f t="array" ref="L463">'Manpower Projection'!$L$16</f>
        <v>51.69</v>
      </c>
      <c r="M463" s="96">
        <f>'Manpower Projection'!$M$16</f>
        <v>83.549310344827575</v>
      </c>
      <c r="N463" s="96">
        <f>IFERROR('Manpower Projection'!H463*'Manpower Projection'!L463,"")</f>
        <v>0</v>
      </c>
      <c r="O463" s="96">
        <f>IFERROR('Manpower Projection'!M463*'Manpower Projection'!H463,"")</f>
        <v>0</v>
      </c>
    </row>
    <row r="464" spans="6:15" ht="15" customHeight="1">
      <c r="F464" s="94"/>
      <c r="G464" s="95"/>
      <c r="H464" s="95"/>
      <c r="I464" s="95"/>
      <c r="J464" s="95"/>
      <c r="K464" s="95">
        <f>IFERROR('Manpower Projection'!H464*'Manpower Projection'!I464*'Manpower Projection'!J464,0)</f>
        <v>0</v>
      </c>
      <c r="L464" s="96" cm="1">
        <f t="array" ref="L464">'Manpower Projection'!$L$16</f>
        <v>51.69</v>
      </c>
      <c r="M464" s="96">
        <f>'Manpower Projection'!$M$16</f>
        <v>83.549310344827575</v>
      </c>
      <c r="N464" s="96">
        <f>IFERROR('Manpower Projection'!H464*'Manpower Projection'!L464,"")</f>
        <v>0</v>
      </c>
      <c r="O464" s="96">
        <f>IFERROR('Manpower Projection'!M464*'Manpower Projection'!H464,"")</f>
        <v>0</v>
      </c>
    </row>
    <row r="465" spans="6:15" ht="15" customHeight="1">
      <c r="F465" s="94"/>
      <c r="G465" s="95"/>
      <c r="H465" s="95"/>
      <c r="I465" s="95"/>
      <c r="J465" s="95"/>
      <c r="K465" s="95">
        <f>IFERROR('Manpower Projection'!H465*'Manpower Projection'!I465*'Manpower Projection'!J465,0)</f>
        <v>0</v>
      </c>
      <c r="L465" s="96" cm="1">
        <f t="array" ref="L465">'Manpower Projection'!$L$16</f>
        <v>51.69</v>
      </c>
      <c r="M465" s="96">
        <f>'Manpower Projection'!$M$16</f>
        <v>83.549310344827575</v>
      </c>
      <c r="N465" s="96">
        <f>IFERROR('Manpower Projection'!H465*'Manpower Projection'!L465,"")</f>
        <v>0</v>
      </c>
      <c r="O465" s="96">
        <f>IFERROR('Manpower Projection'!M465*'Manpower Projection'!H465,"")</f>
        <v>0</v>
      </c>
    </row>
    <row r="466" spans="6:15" ht="15" customHeight="1">
      <c r="F466" s="94"/>
      <c r="G466" s="95"/>
      <c r="H466" s="95"/>
      <c r="I466" s="95"/>
      <c r="J466" s="95"/>
      <c r="K466" s="95">
        <f>IFERROR('Manpower Projection'!H466*'Manpower Projection'!I466*'Manpower Projection'!J466,0)</f>
        <v>0</v>
      </c>
      <c r="L466" s="96" cm="1">
        <f t="array" ref="L466">'Manpower Projection'!$L$16</f>
        <v>51.69</v>
      </c>
      <c r="M466" s="96">
        <f>'Manpower Projection'!$M$16</f>
        <v>83.549310344827575</v>
      </c>
      <c r="N466" s="96">
        <f>IFERROR('Manpower Projection'!H466*'Manpower Projection'!L466,"")</f>
        <v>0</v>
      </c>
      <c r="O466" s="96">
        <f>IFERROR('Manpower Projection'!M466*'Manpower Projection'!H466,"")</f>
        <v>0</v>
      </c>
    </row>
    <row r="467" spans="6:15" ht="15" customHeight="1">
      <c r="F467" s="94"/>
      <c r="G467" s="95"/>
      <c r="H467" s="95"/>
      <c r="I467" s="95"/>
      <c r="J467" s="95"/>
      <c r="K467" s="95">
        <f>IFERROR('Manpower Projection'!H467*'Manpower Projection'!I467*'Manpower Projection'!J467,0)</f>
        <v>0</v>
      </c>
      <c r="L467" s="96" cm="1">
        <f t="array" ref="L467">'Manpower Projection'!$L$16</f>
        <v>51.69</v>
      </c>
      <c r="M467" s="96">
        <f>'Manpower Projection'!$M$16</f>
        <v>83.549310344827575</v>
      </c>
      <c r="N467" s="96">
        <f>IFERROR('Manpower Projection'!H467*'Manpower Projection'!L467,"")</f>
        <v>0</v>
      </c>
      <c r="O467" s="96">
        <f>IFERROR('Manpower Projection'!M467*'Manpower Projection'!H467,"")</f>
        <v>0</v>
      </c>
    </row>
    <row r="468" spans="6:15" ht="15" customHeight="1">
      <c r="F468" s="94"/>
      <c r="G468" s="95"/>
      <c r="H468" s="95"/>
      <c r="I468" s="95"/>
      <c r="J468" s="95"/>
      <c r="K468" s="95">
        <f>IFERROR('Manpower Projection'!H468*'Manpower Projection'!I468*'Manpower Projection'!J468,0)</f>
        <v>0</v>
      </c>
      <c r="L468" s="96" cm="1">
        <f t="array" ref="L468">'Manpower Projection'!$L$16</f>
        <v>51.69</v>
      </c>
      <c r="M468" s="96">
        <f>'Manpower Projection'!$M$16</f>
        <v>83.549310344827575</v>
      </c>
      <c r="N468" s="96">
        <f>IFERROR('Manpower Projection'!H468*'Manpower Projection'!L468,"")</f>
        <v>0</v>
      </c>
      <c r="O468" s="96">
        <f>IFERROR('Manpower Projection'!M468*'Manpower Projection'!H468,"")</f>
        <v>0</v>
      </c>
    </row>
    <row r="469" spans="6:15" ht="15" customHeight="1">
      <c r="F469" s="94"/>
      <c r="G469" s="95"/>
      <c r="H469" s="95"/>
      <c r="I469" s="95"/>
      <c r="J469" s="95"/>
      <c r="K469" s="95">
        <f>IFERROR('Manpower Projection'!H469*'Manpower Projection'!I469*'Manpower Projection'!J469,0)</f>
        <v>0</v>
      </c>
      <c r="L469" s="96" cm="1">
        <f t="array" ref="L469">'Manpower Projection'!$L$16</f>
        <v>51.69</v>
      </c>
      <c r="M469" s="96">
        <f>'Manpower Projection'!$M$16</f>
        <v>83.549310344827575</v>
      </c>
      <c r="N469" s="96">
        <f>IFERROR('Manpower Projection'!H469*'Manpower Projection'!L469,"")</f>
        <v>0</v>
      </c>
      <c r="O469" s="96">
        <f>IFERROR('Manpower Projection'!M469*'Manpower Projection'!H469,"")</f>
        <v>0</v>
      </c>
    </row>
    <row r="470" spans="6:15" ht="15" customHeight="1">
      <c r="F470" s="94"/>
      <c r="G470" s="95"/>
      <c r="H470" s="95"/>
      <c r="I470" s="95"/>
      <c r="J470" s="95"/>
      <c r="K470" s="95">
        <f>IFERROR('Manpower Projection'!H470*'Manpower Projection'!I470*'Manpower Projection'!J470,0)</f>
        <v>0</v>
      </c>
      <c r="L470" s="96" cm="1">
        <f t="array" ref="L470">'Manpower Projection'!$L$16</f>
        <v>51.69</v>
      </c>
      <c r="M470" s="96">
        <f>'Manpower Projection'!$M$16</f>
        <v>83.549310344827575</v>
      </c>
      <c r="N470" s="96">
        <f>IFERROR('Manpower Projection'!H470*'Manpower Projection'!L470,"")</f>
        <v>0</v>
      </c>
      <c r="O470" s="96">
        <f>IFERROR('Manpower Projection'!M470*'Manpower Projection'!H470,"")</f>
        <v>0</v>
      </c>
    </row>
    <row r="471" spans="6:15" ht="15" customHeight="1">
      <c r="F471" s="94"/>
      <c r="G471" s="95"/>
      <c r="H471" s="95"/>
      <c r="I471" s="95"/>
      <c r="J471" s="95"/>
      <c r="K471" s="95">
        <f>IFERROR('Manpower Projection'!H471*'Manpower Projection'!I471*'Manpower Projection'!J471,0)</f>
        <v>0</v>
      </c>
      <c r="L471" s="96" cm="1">
        <f t="array" ref="L471">'Manpower Projection'!$L$16</f>
        <v>51.69</v>
      </c>
      <c r="M471" s="96">
        <f>'Manpower Projection'!$M$16</f>
        <v>83.549310344827575</v>
      </c>
      <c r="N471" s="96">
        <f>IFERROR('Manpower Projection'!H471*'Manpower Projection'!L471,"")</f>
        <v>0</v>
      </c>
      <c r="O471" s="96">
        <f>IFERROR('Manpower Projection'!M471*'Manpower Projection'!H471,"")</f>
        <v>0</v>
      </c>
    </row>
    <row r="472" spans="6:15" ht="15" customHeight="1">
      <c r="F472" s="94"/>
      <c r="G472" s="95"/>
      <c r="H472" s="95"/>
      <c r="I472" s="95"/>
      <c r="J472" s="95"/>
      <c r="K472" s="95">
        <f>IFERROR('Manpower Projection'!H472*'Manpower Projection'!I472*'Manpower Projection'!J472,0)</f>
        <v>0</v>
      </c>
      <c r="L472" s="96" cm="1">
        <f t="array" ref="L472">'Manpower Projection'!$L$16</f>
        <v>51.69</v>
      </c>
      <c r="M472" s="96">
        <f>'Manpower Projection'!$M$16</f>
        <v>83.549310344827575</v>
      </c>
      <c r="N472" s="96">
        <f>IFERROR('Manpower Projection'!H472*'Manpower Projection'!L472,"")</f>
        <v>0</v>
      </c>
      <c r="O472" s="96">
        <f>IFERROR('Manpower Projection'!M472*'Manpower Projection'!H472,"")</f>
        <v>0</v>
      </c>
    </row>
    <row r="473" spans="6:15" ht="15" customHeight="1">
      <c r="F473" s="94"/>
      <c r="G473" s="95"/>
      <c r="H473" s="95"/>
      <c r="I473" s="95"/>
      <c r="J473" s="95"/>
      <c r="K473" s="95">
        <f>IFERROR('Manpower Projection'!H473*'Manpower Projection'!I473*'Manpower Projection'!J473,0)</f>
        <v>0</v>
      </c>
      <c r="L473" s="96" cm="1">
        <f t="array" ref="L473">'Manpower Projection'!$L$16</f>
        <v>51.69</v>
      </c>
      <c r="M473" s="96">
        <f>'Manpower Projection'!$M$16</f>
        <v>83.549310344827575</v>
      </c>
      <c r="N473" s="96">
        <f>IFERROR('Manpower Projection'!H473*'Manpower Projection'!L473,"")</f>
        <v>0</v>
      </c>
      <c r="O473" s="96">
        <f>IFERROR('Manpower Projection'!M473*'Manpower Projection'!H473,"")</f>
        <v>0</v>
      </c>
    </row>
    <row r="474" spans="6:15" ht="15" customHeight="1">
      <c r="F474" s="94"/>
      <c r="G474" s="95"/>
      <c r="H474" s="95"/>
      <c r="I474" s="95"/>
      <c r="J474" s="95"/>
      <c r="K474" s="95">
        <f>IFERROR('Manpower Projection'!H474*'Manpower Projection'!I474*'Manpower Projection'!J474,0)</f>
        <v>0</v>
      </c>
      <c r="L474" s="96" cm="1">
        <f t="array" ref="L474">'Manpower Projection'!$L$16</f>
        <v>51.69</v>
      </c>
      <c r="M474" s="96">
        <f>'Manpower Projection'!$M$16</f>
        <v>83.549310344827575</v>
      </c>
      <c r="N474" s="96">
        <f>IFERROR('Manpower Projection'!H474*'Manpower Projection'!L474,"")</f>
        <v>0</v>
      </c>
      <c r="O474" s="96">
        <f>IFERROR('Manpower Projection'!M474*'Manpower Projection'!H474,"")</f>
        <v>0</v>
      </c>
    </row>
    <row r="475" spans="6:15" ht="15" customHeight="1">
      <c r="F475" s="94"/>
      <c r="G475" s="95"/>
      <c r="H475" s="95"/>
      <c r="I475" s="95"/>
      <c r="J475" s="95"/>
      <c r="K475" s="95">
        <f>IFERROR('Manpower Projection'!H475*'Manpower Projection'!I475*'Manpower Projection'!J475,0)</f>
        <v>0</v>
      </c>
      <c r="L475" s="96" cm="1">
        <f t="array" ref="L475">'Manpower Projection'!$L$16</f>
        <v>51.69</v>
      </c>
      <c r="M475" s="96">
        <f>'Manpower Projection'!$M$16</f>
        <v>83.549310344827575</v>
      </c>
      <c r="N475" s="96">
        <f>IFERROR('Manpower Projection'!H475*'Manpower Projection'!L475,"")</f>
        <v>0</v>
      </c>
      <c r="O475" s="96">
        <f>IFERROR('Manpower Projection'!M475*'Manpower Projection'!H475,"")</f>
        <v>0</v>
      </c>
    </row>
    <row r="476" spans="6:15" ht="15" customHeight="1">
      <c r="F476" s="94"/>
      <c r="G476" s="95"/>
      <c r="H476" s="95"/>
      <c r="I476" s="95"/>
      <c r="J476" s="95"/>
      <c r="K476" s="95">
        <f>IFERROR('Manpower Projection'!H476*'Manpower Projection'!I476*'Manpower Projection'!J476,0)</f>
        <v>0</v>
      </c>
      <c r="L476" s="96" cm="1">
        <f t="array" ref="L476">'Manpower Projection'!$L$16</f>
        <v>51.69</v>
      </c>
      <c r="M476" s="96">
        <f>'Manpower Projection'!$M$16</f>
        <v>83.549310344827575</v>
      </c>
      <c r="N476" s="96">
        <f>IFERROR('Manpower Projection'!H476*'Manpower Projection'!L476,"")</f>
        <v>0</v>
      </c>
      <c r="O476" s="96">
        <f>IFERROR('Manpower Projection'!M476*'Manpower Projection'!H476,"")</f>
        <v>0</v>
      </c>
    </row>
    <row r="477" spans="6:15" ht="15" customHeight="1">
      <c r="F477" s="94"/>
      <c r="G477" s="95"/>
      <c r="H477" s="95"/>
      <c r="I477" s="95"/>
      <c r="J477" s="95"/>
      <c r="K477" s="95">
        <f>IFERROR('Manpower Projection'!H477*'Manpower Projection'!I477*'Manpower Projection'!J477,0)</f>
        <v>0</v>
      </c>
      <c r="L477" s="96" cm="1">
        <f t="array" ref="L477">'Manpower Projection'!$L$16</f>
        <v>51.69</v>
      </c>
      <c r="M477" s="96">
        <f>'Manpower Projection'!$M$16</f>
        <v>83.549310344827575</v>
      </c>
      <c r="N477" s="96">
        <f>IFERROR('Manpower Projection'!H477*'Manpower Projection'!L477,"")</f>
        <v>0</v>
      </c>
      <c r="O477" s="96">
        <f>IFERROR('Manpower Projection'!M477*'Manpower Projection'!H477,"")</f>
        <v>0</v>
      </c>
    </row>
    <row r="478" spans="6:15" ht="15" customHeight="1">
      <c r="F478" s="94"/>
      <c r="G478" s="95"/>
      <c r="H478" s="95"/>
      <c r="I478" s="95"/>
      <c r="J478" s="95"/>
      <c r="K478" s="95">
        <f>IFERROR('Manpower Projection'!H478*'Manpower Projection'!I478*'Manpower Projection'!J478,0)</f>
        <v>0</v>
      </c>
      <c r="L478" s="96" cm="1">
        <f t="array" ref="L478">'Manpower Projection'!$L$16</f>
        <v>51.69</v>
      </c>
      <c r="M478" s="96">
        <f>'Manpower Projection'!$M$16</f>
        <v>83.549310344827575</v>
      </c>
      <c r="N478" s="96">
        <f>IFERROR('Manpower Projection'!H478*'Manpower Projection'!L478,"")</f>
        <v>0</v>
      </c>
      <c r="O478" s="96">
        <f>IFERROR('Manpower Projection'!M478*'Manpower Projection'!H478,"")</f>
        <v>0</v>
      </c>
    </row>
    <row r="479" spans="6:15" ht="15" customHeight="1">
      <c r="F479" s="94"/>
      <c r="G479" s="95"/>
      <c r="H479" s="95"/>
      <c r="I479" s="95"/>
      <c r="J479" s="95"/>
      <c r="K479" s="95">
        <f>IFERROR('Manpower Projection'!H479*'Manpower Projection'!I479*'Manpower Projection'!J479,0)</f>
        <v>0</v>
      </c>
      <c r="L479" s="96" cm="1">
        <f t="array" ref="L479">'Manpower Projection'!$L$16</f>
        <v>51.69</v>
      </c>
      <c r="M479" s="96">
        <f>'Manpower Projection'!$M$16</f>
        <v>83.549310344827575</v>
      </c>
      <c r="N479" s="96">
        <f>IFERROR('Manpower Projection'!H479*'Manpower Projection'!L479,"")</f>
        <v>0</v>
      </c>
      <c r="O479" s="96">
        <f>IFERROR('Manpower Projection'!M479*'Manpower Projection'!H479,"")</f>
        <v>0</v>
      </c>
    </row>
    <row r="480" spans="6:15" ht="15" customHeight="1">
      <c r="F480" s="94"/>
      <c r="G480" s="95"/>
      <c r="H480" s="95"/>
      <c r="I480" s="95"/>
      <c r="J480" s="95"/>
      <c r="K480" s="95">
        <f>IFERROR('Manpower Projection'!H480*'Manpower Projection'!I480*'Manpower Projection'!J480,0)</f>
        <v>0</v>
      </c>
      <c r="L480" s="96" cm="1">
        <f t="array" ref="L480">'Manpower Projection'!$L$16</f>
        <v>51.69</v>
      </c>
      <c r="M480" s="96">
        <f>'Manpower Projection'!$M$16</f>
        <v>83.549310344827575</v>
      </c>
      <c r="N480" s="96">
        <f>IFERROR('Manpower Projection'!H480*'Manpower Projection'!L480,"")</f>
        <v>0</v>
      </c>
      <c r="O480" s="96">
        <f>IFERROR('Manpower Projection'!M480*'Manpower Projection'!H480,"")</f>
        <v>0</v>
      </c>
    </row>
    <row r="481" spans="6:15" ht="15" customHeight="1">
      <c r="F481" s="94"/>
      <c r="G481" s="95"/>
      <c r="H481" s="95"/>
      <c r="I481" s="95"/>
      <c r="J481" s="95"/>
      <c r="K481" s="95">
        <f>IFERROR('Manpower Projection'!H481*'Manpower Projection'!I481*'Manpower Projection'!J481,0)</f>
        <v>0</v>
      </c>
      <c r="L481" s="96" cm="1">
        <f t="array" ref="L481">'Manpower Projection'!$L$16</f>
        <v>51.69</v>
      </c>
      <c r="M481" s="96">
        <f>'Manpower Projection'!$M$16</f>
        <v>83.549310344827575</v>
      </c>
      <c r="N481" s="96">
        <f>IFERROR('Manpower Projection'!H481*'Manpower Projection'!L481,"")</f>
        <v>0</v>
      </c>
      <c r="O481" s="96">
        <f>IFERROR('Manpower Projection'!M481*'Manpower Projection'!H481,"")</f>
        <v>0</v>
      </c>
    </row>
    <row r="482" spans="6:15" ht="15" customHeight="1">
      <c r="F482" s="94"/>
      <c r="G482" s="95"/>
      <c r="H482" s="95"/>
      <c r="I482" s="95"/>
      <c r="J482" s="95"/>
      <c r="K482" s="95">
        <f>IFERROR('Manpower Projection'!H482*'Manpower Projection'!I482*'Manpower Projection'!J482,0)</f>
        <v>0</v>
      </c>
      <c r="L482" s="96" cm="1">
        <f t="array" ref="L482">'Manpower Projection'!$L$16</f>
        <v>51.69</v>
      </c>
      <c r="M482" s="96">
        <f>'Manpower Projection'!$M$16</f>
        <v>83.549310344827575</v>
      </c>
      <c r="N482" s="96">
        <f>IFERROR('Manpower Projection'!H482*'Manpower Projection'!L482,"")</f>
        <v>0</v>
      </c>
      <c r="O482" s="96">
        <f>IFERROR('Manpower Projection'!M482*'Manpower Projection'!H482,"")</f>
        <v>0</v>
      </c>
    </row>
    <row r="483" spans="6:15" ht="15" customHeight="1">
      <c r="F483" s="94"/>
      <c r="G483" s="95"/>
      <c r="H483" s="95"/>
      <c r="I483" s="95"/>
      <c r="J483" s="95"/>
      <c r="K483" s="95">
        <f>IFERROR('Manpower Projection'!H483*'Manpower Projection'!I483*'Manpower Projection'!J483,0)</f>
        <v>0</v>
      </c>
      <c r="L483" s="96" cm="1">
        <f t="array" ref="L483">'Manpower Projection'!$L$16</f>
        <v>51.69</v>
      </c>
      <c r="M483" s="96">
        <f>'Manpower Projection'!$M$16</f>
        <v>83.549310344827575</v>
      </c>
      <c r="N483" s="96">
        <f>IFERROR('Manpower Projection'!H483*'Manpower Projection'!L483,"")</f>
        <v>0</v>
      </c>
      <c r="O483" s="96">
        <f>IFERROR('Manpower Projection'!M483*'Manpower Projection'!H483,"")</f>
        <v>0</v>
      </c>
    </row>
    <row r="484" spans="6:15" ht="15" customHeight="1">
      <c r="F484" s="94"/>
      <c r="G484" s="95"/>
      <c r="H484" s="95"/>
      <c r="I484" s="95"/>
      <c r="J484" s="95"/>
      <c r="K484" s="95">
        <f>IFERROR('Manpower Projection'!H484*'Manpower Projection'!I484*'Manpower Projection'!J484,0)</f>
        <v>0</v>
      </c>
      <c r="L484" s="96" cm="1">
        <f t="array" ref="L484">'Manpower Projection'!$L$16</f>
        <v>51.69</v>
      </c>
      <c r="M484" s="96">
        <f>'Manpower Projection'!$M$16</f>
        <v>83.549310344827575</v>
      </c>
      <c r="N484" s="96">
        <f>IFERROR('Manpower Projection'!H484*'Manpower Projection'!L484,"")</f>
        <v>0</v>
      </c>
      <c r="O484" s="96">
        <f>IFERROR('Manpower Projection'!M484*'Manpower Projection'!H484,"")</f>
        <v>0</v>
      </c>
    </row>
    <row r="485" spans="6:15" ht="15" customHeight="1">
      <c r="F485" s="94"/>
      <c r="G485" s="95"/>
      <c r="H485" s="95"/>
      <c r="I485" s="95"/>
      <c r="J485" s="95"/>
      <c r="K485" s="95">
        <f>IFERROR('Manpower Projection'!H485*'Manpower Projection'!I485*'Manpower Projection'!J485,0)</f>
        <v>0</v>
      </c>
      <c r="L485" s="96" cm="1">
        <f t="array" ref="L485">'Manpower Projection'!$L$16</f>
        <v>51.69</v>
      </c>
      <c r="M485" s="96">
        <f>'Manpower Projection'!$M$16</f>
        <v>83.549310344827575</v>
      </c>
      <c r="N485" s="96">
        <f>IFERROR('Manpower Projection'!H485*'Manpower Projection'!L485,"")</f>
        <v>0</v>
      </c>
      <c r="O485" s="96">
        <f>IFERROR('Manpower Projection'!M485*'Manpower Projection'!H485,"")</f>
        <v>0</v>
      </c>
    </row>
    <row r="486" spans="6:15" ht="15" customHeight="1">
      <c r="F486" s="94"/>
      <c r="G486" s="95"/>
      <c r="H486" s="95"/>
      <c r="I486" s="95"/>
      <c r="J486" s="95"/>
      <c r="K486" s="95">
        <f>IFERROR('Manpower Projection'!H486*'Manpower Projection'!I486*'Manpower Projection'!J486,0)</f>
        <v>0</v>
      </c>
      <c r="L486" s="96" cm="1">
        <f t="array" ref="L486">'Manpower Projection'!$L$16</f>
        <v>51.69</v>
      </c>
      <c r="M486" s="96">
        <f>'Manpower Projection'!$M$16</f>
        <v>83.549310344827575</v>
      </c>
      <c r="N486" s="96">
        <f>IFERROR('Manpower Projection'!H486*'Manpower Projection'!L486,"")</f>
        <v>0</v>
      </c>
      <c r="O486" s="96">
        <f>IFERROR('Manpower Projection'!M486*'Manpower Projection'!H486,"")</f>
        <v>0</v>
      </c>
    </row>
    <row r="487" spans="6:15" ht="15" customHeight="1">
      <c r="F487" s="94"/>
      <c r="G487" s="95"/>
      <c r="H487" s="95"/>
      <c r="I487" s="95"/>
      <c r="J487" s="95"/>
      <c r="K487" s="95">
        <f>IFERROR('Manpower Projection'!H487*'Manpower Projection'!I487*'Manpower Projection'!J487,0)</f>
        <v>0</v>
      </c>
      <c r="L487" s="96" cm="1">
        <f t="array" ref="L487">'Manpower Projection'!$L$16</f>
        <v>51.69</v>
      </c>
      <c r="M487" s="96">
        <f>'Manpower Projection'!$M$16</f>
        <v>83.549310344827575</v>
      </c>
      <c r="N487" s="96">
        <f>IFERROR('Manpower Projection'!H487*'Manpower Projection'!L487,"")</f>
        <v>0</v>
      </c>
      <c r="O487" s="96">
        <f>IFERROR('Manpower Projection'!M487*'Manpower Projection'!H487,"")</f>
        <v>0</v>
      </c>
    </row>
    <row r="488" spans="6:15" ht="15" customHeight="1">
      <c r="F488" s="94"/>
      <c r="G488" s="95"/>
      <c r="H488" s="95"/>
      <c r="I488" s="95"/>
      <c r="J488" s="95"/>
      <c r="K488" s="95">
        <f>IFERROR('Manpower Projection'!H488*'Manpower Projection'!I488*'Manpower Projection'!J488,0)</f>
        <v>0</v>
      </c>
      <c r="L488" s="96" cm="1">
        <f t="array" ref="L488">'Manpower Projection'!$L$16</f>
        <v>51.69</v>
      </c>
      <c r="M488" s="96">
        <f>'Manpower Projection'!$M$16</f>
        <v>83.549310344827575</v>
      </c>
      <c r="N488" s="96">
        <f>IFERROR('Manpower Projection'!H488*'Manpower Projection'!L488,"")</f>
        <v>0</v>
      </c>
      <c r="O488" s="96">
        <f>IFERROR('Manpower Projection'!M488*'Manpower Projection'!H488,"")</f>
        <v>0</v>
      </c>
    </row>
    <row r="489" spans="6:15" ht="15" customHeight="1">
      <c r="F489" s="94"/>
      <c r="G489" s="95"/>
      <c r="H489" s="95"/>
      <c r="I489" s="95"/>
      <c r="J489" s="95"/>
      <c r="K489" s="95">
        <f>IFERROR('Manpower Projection'!H489*'Manpower Projection'!I489*'Manpower Projection'!J489,0)</f>
        <v>0</v>
      </c>
      <c r="L489" s="96" cm="1">
        <f t="array" ref="L489">'Manpower Projection'!$L$16</f>
        <v>51.69</v>
      </c>
      <c r="M489" s="96">
        <f>'Manpower Projection'!$M$16</f>
        <v>83.549310344827575</v>
      </c>
      <c r="N489" s="96">
        <f>IFERROR('Manpower Projection'!H489*'Manpower Projection'!L489,"")</f>
        <v>0</v>
      </c>
      <c r="O489" s="96">
        <f>IFERROR('Manpower Projection'!M489*'Manpower Projection'!H489,"")</f>
        <v>0</v>
      </c>
    </row>
    <row r="490" spans="6:15" ht="15" customHeight="1">
      <c r="F490" s="94"/>
      <c r="G490" s="95"/>
      <c r="H490" s="95"/>
      <c r="I490" s="95"/>
      <c r="J490" s="95"/>
      <c r="K490" s="95">
        <f>IFERROR('Manpower Projection'!H490*'Manpower Projection'!I490*'Manpower Projection'!J490,0)</f>
        <v>0</v>
      </c>
      <c r="L490" s="96" cm="1">
        <f t="array" ref="L490">'Manpower Projection'!$L$16</f>
        <v>51.69</v>
      </c>
      <c r="M490" s="96">
        <f>'Manpower Projection'!$M$16</f>
        <v>83.549310344827575</v>
      </c>
      <c r="N490" s="96">
        <f>IFERROR('Manpower Projection'!H490*'Manpower Projection'!L490,"")</f>
        <v>0</v>
      </c>
      <c r="O490" s="96">
        <f>IFERROR('Manpower Projection'!M490*'Manpower Projection'!H490,"")</f>
        <v>0</v>
      </c>
    </row>
    <row r="491" spans="6:15" ht="15" customHeight="1">
      <c r="F491" s="94"/>
      <c r="G491" s="95"/>
      <c r="H491" s="95"/>
      <c r="I491" s="95"/>
      <c r="J491" s="95"/>
      <c r="K491" s="95">
        <f>IFERROR('Manpower Projection'!H491*'Manpower Projection'!I491*'Manpower Projection'!J491,0)</f>
        <v>0</v>
      </c>
      <c r="L491" s="96" cm="1">
        <f t="array" ref="L491">'Manpower Projection'!$L$16</f>
        <v>51.69</v>
      </c>
      <c r="M491" s="96">
        <f>'Manpower Projection'!$M$16</f>
        <v>83.549310344827575</v>
      </c>
      <c r="N491" s="96">
        <f>IFERROR('Manpower Projection'!H491*'Manpower Projection'!L491,"")</f>
        <v>0</v>
      </c>
      <c r="O491" s="96">
        <f>IFERROR('Manpower Projection'!M491*'Manpower Projection'!H491,"")</f>
        <v>0</v>
      </c>
    </row>
    <row r="492" spans="6:15" ht="15" customHeight="1">
      <c r="F492" s="94"/>
      <c r="G492" s="95"/>
      <c r="H492" s="95"/>
      <c r="I492" s="95"/>
      <c r="J492" s="95"/>
      <c r="K492" s="95">
        <f>IFERROR('Manpower Projection'!H492*'Manpower Projection'!I492*'Manpower Projection'!J492,0)</f>
        <v>0</v>
      </c>
      <c r="L492" s="96" cm="1">
        <f t="array" ref="L492">'Manpower Projection'!$L$16</f>
        <v>51.69</v>
      </c>
      <c r="M492" s="96">
        <f>'Manpower Projection'!$M$16</f>
        <v>83.549310344827575</v>
      </c>
      <c r="N492" s="96">
        <f>IFERROR('Manpower Projection'!H492*'Manpower Projection'!L492,"")</f>
        <v>0</v>
      </c>
      <c r="O492" s="96">
        <f>IFERROR('Manpower Projection'!M492*'Manpower Projection'!H492,"")</f>
        <v>0</v>
      </c>
    </row>
    <row r="493" spans="6:15" ht="15" customHeight="1">
      <c r="F493" s="94"/>
      <c r="G493" s="95"/>
      <c r="H493" s="95"/>
      <c r="I493" s="95"/>
      <c r="J493" s="95"/>
      <c r="K493" s="95">
        <f>IFERROR('Manpower Projection'!H493*'Manpower Projection'!I493*'Manpower Projection'!J493,0)</f>
        <v>0</v>
      </c>
      <c r="L493" s="96" cm="1">
        <f t="array" ref="L493">'Manpower Projection'!$L$16</f>
        <v>51.69</v>
      </c>
      <c r="M493" s="96">
        <f>'Manpower Projection'!$M$16</f>
        <v>83.549310344827575</v>
      </c>
      <c r="N493" s="96">
        <f>IFERROR('Manpower Projection'!H493*'Manpower Projection'!L493,"")</f>
        <v>0</v>
      </c>
      <c r="O493" s="96">
        <f>IFERROR('Manpower Projection'!M493*'Manpower Projection'!H493,"")</f>
        <v>0</v>
      </c>
    </row>
    <row r="494" spans="6:15" ht="15" customHeight="1">
      <c r="F494" s="94"/>
      <c r="G494" s="95"/>
      <c r="H494" s="95"/>
      <c r="I494" s="95"/>
      <c r="J494" s="95"/>
      <c r="K494" s="95">
        <f>IFERROR('Manpower Projection'!H494*'Manpower Projection'!I494*'Manpower Projection'!J494,0)</f>
        <v>0</v>
      </c>
      <c r="L494" s="96" cm="1">
        <f t="array" ref="L494">'Manpower Projection'!$L$16</f>
        <v>51.69</v>
      </c>
      <c r="M494" s="96">
        <f>'Manpower Projection'!$M$16</f>
        <v>83.549310344827575</v>
      </c>
      <c r="N494" s="96">
        <f>IFERROR('Manpower Projection'!H494*'Manpower Projection'!L494,"")</f>
        <v>0</v>
      </c>
      <c r="O494" s="96">
        <f>IFERROR('Manpower Projection'!M494*'Manpower Projection'!H494,"")</f>
        <v>0</v>
      </c>
    </row>
    <row r="495" spans="6:15" ht="15" customHeight="1">
      <c r="F495" s="94"/>
      <c r="G495" s="95"/>
      <c r="H495" s="95"/>
      <c r="I495" s="95"/>
      <c r="J495" s="95"/>
      <c r="K495" s="95">
        <f>IFERROR('Manpower Projection'!H495*'Manpower Projection'!I495*'Manpower Projection'!J495,0)</f>
        <v>0</v>
      </c>
      <c r="L495" s="96" cm="1">
        <f t="array" ref="L495">'Manpower Projection'!$L$16</f>
        <v>51.69</v>
      </c>
      <c r="M495" s="96">
        <f>'Manpower Projection'!$M$16</f>
        <v>83.549310344827575</v>
      </c>
      <c r="N495" s="96">
        <f>IFERROR('Manpower Projection'!H495*'Manpower Projection'!L495,"")</f>
        <v>0</v>
      </c>
      <c r="O495" s="96">
        <f>IFERROR('Manpower Projection'!M495*'Manpower Projection'!H495,"")</f>
        <v>0</v>
      </c>
    </row>
    <row r="496" spans="6:15" ht="15" customHeight="1">
      <c r="F496" s="94"/>
      <c r="G496" s="95"/>
      <c r="H496" s="95"/>
      <c r="I496" s="95"/>
      <c r="J496" s="95"/>
      <c r="K496" s="95">
        <f>IFERROR('Manpower Projection'!H496*'Manpower Projection'!I496*'Manpower Projection'!J496,0)</f>
        <v>0</v>
      </c>
      <c r="L496" s="96" cm="1">
        <f t="array" ref="L496">'Manpower Projection'!$L$16</f>
        <v>51.69</v>
      </c>
      <c r="M496" s="96">
        <f>'Manpower Projection'!$M$16</f>
        <v>83.549310344827575</v>
      </c>
      <c r="N496" s="96">
        <f>IFERROR('Manpower Projection'!H496*'Manpower Projection'!L496,"")</f>
        <v>0</v>
      </c>
      <c r="O496" s="96">
        <f>IFERROR('Manpower Projection'!M496*'Manpower Projection'!H496,"")</f>
        <v>0</v>
      </c>
    </row>
    <row r="497" spans="6:15" ht="15" customHeight="1">
      <c r="F497" s="94"/>
      <c r="G497" s="95"/>
      <c r="H497" s="95"/>
      <c r="I497" s="95"/>
      <c r="J497" s="95"/>
      <c r="K497" s="95">
        <f>IFERROR('Manpower Projection'!H497*'Manpower Projection'!I497*'Manpower Projection'!J497,0)</f>
        <v>0</v>
      </c>
      <c r="L497" s="96" cm="1">
        <f t="array" ref="L497">'Manpower Projection'!$L$16</f>
        <v>51.69</v>
      </c>
      <c r="M497" s="96">
        <f>'Manpower Projection'!$M$16</f>
        <v>83.549310344827575</v>
      </c>
      <c r="N497" s="96">
        <f>IFERROR('Manpower Projection'!H497*'Manpower Projection'!L497,"")</f>
        <v>0</v>
      </c>
      <c r="O497" s="96">
        <f>IFERROR('Manpower Projection'!M497*'Manpower Projection'!H497,"")</f>
        <v>0</v>
      </c>
    </row>
    <row r="498" spans="6:15" ht="15" customHeight="1">
      <c r="F498" s="94"/>
      <c r="G498" s="95"/>
      <c r="H498" s="95"/>
      <c r="I498" s="95"/>
      <c r="J498" s="95"/>
      <c r="K498" s="95">
        <f>IFERROR('Manpower Projection'!H498*'Manpower Projection'!I498*'Manpower Projection'!J498,0)</f>
        <v>0</v>
      </c>
      <c r="L498" s="96" cm="1">
        <f t="array" ref="L498">'Manpower Projection'!$L$16</f>
        <v>51.69</v>
      </c>
      <c r="M498" s="96">
        <f>'Manpower Projection'!$M$16</f>
        <v>83.549310344827575</v>
      </c>
      <c r="N498" s="96">
        <f>IFERROR('Manpower Projection'!H498*'Manpower Projection'!L498,"")</f>
        <v>0</v>
      </c>
      <c r="O498" s="96">
        <f>IFERROR('Manpower Projection'!M498*'Manpower Projection'!H498,"")</f>
        <v>0</v>
      </c>
    </row>
    <row r="499" spans="6:15" ht="15" customHeight="1">
      <c r="F499" s="94"/>
      <c r="G499" s="95"/>
      <c r="H499" s="95"/>
      <c r="I499" s="95"/>
      <c r="J499" s="95"/>
      <c r="K499" s="95">
        <f>IFERROR('Manpower Projection'!H499*'Manpower Projection'!I499*'Manpower Projection'!J499,0)</f>
        <v>0</v>
      </c>
      <c r="L499" s="96" cm="1">
        <f t="array" ref="L499">'Manpower Projection'!$L$16</f>
        <v>51.69</v>
      </c>
      <c r="M499" s="96">
        <f>'Manpower Projection'!$M$16</f>
        <v>83.549310344827575</v>
      </c>
      <c r="N499" s="96">
        <f>IFERROR('Manpower Projection'!H499*'Manpower Projection'!L499,"")</f>
        <v>0</v>
      </c>
      <c r="O499" s="96">
        <f>IFERROR('Manpower Projection'!M499*'Manpower Projection'!H499,"")</f>
        <v>0</v>
      </c>
    </row>
    <row r="500" spans="6:15" ht="15" customHeight="1">
      <c r="F500" s="94"/>
      <c r="G500" s="95"/>
      <c r="H500" s="95"/>
      <c r="I500" s="95"/>
      <c r="J500" s="95"/>
      <c r="K500" s="95">
        <f>IFERROR('Manpower Projection'!H500*'Manpower Projection'!I500*'Manpower Projection'!J500,0)</f>
        <v>0</v>
      </c>
      <c r="L500" s="96" cm="1">
        <f t="array" ref="L500">'Manpower Projection'!$L$16</f>
        <v>51.69</v>
      </c>
      <c r="M500" s="96">
        <f>'Manpower Projection'!$M$16</f>
        <v>83.549310344827575</v>
      </c>
      <c r="N500" s="96">
        <f>IFERROR('Manpower Projection'!H500*'Manpower Projection'!L500,"")</f>
        <v>0</v>
      </c>
      <c r="O500" s="96">
        <f>IFERROR('Manpower Projection'!M500*'Manpower Projection'!H500,"")</f>
        <v>0</v>
      </c>
    </row>
    <row r="501" spans="6:15" ht="15" customHeight="1">
      <c r="F501" s="94"/>
      <c r="G501" s="95"/>
      <c r="H501" s="95"/>
      <c r="I501" s="95"/>
      <c r="J501" s="95"/>
      <c r="K501" s="95">
        <f>IFERROR('Manpower Projection'!H501*'Manpower Projection'!I501*'Manpower Projection'!J501,0)</f>
        <v>0</v>
      </c>
      <c r="L501" s="96" cm="1">
        <f t="array" ref="L501">'Manpower Projection'!$L$16</f>
        <v>51.69</v>
      </c>
      <c r="M501" s="96">
        <f>'Manpower Projection'!$M$16</f>
        <v>83.549310344827575</v>
      </c>
      <c r="N501" s="96">
        <f>IFERROR('Manpower Projection'!H501*'Manpower Projection'!L501,"")</f>
        <v>0</v>
      </c>
      <c r="O501" s="96">
        <f>IFERROR('Manpower Projection'!M501*'Manpower Projection'!H501,"")</f>
        <v>0</v>
      </c>
    </row>
    <row r="502" spans="6:15" ht="15" customHeight="1">
      <c r="F502" s="94"/>
      <c r="G502" s="95"/>
      <c r="H502" s="95"/>
      <c r="I502" s="95"/>
      <c r="J502" s="95"/>
      <c r="K502" s="95">
        <f>IFERROR('Manpower Projection'!H502*'Manpower Projection'!I502*'Manpower Projection'!J502,0)</f>
        <v>0</v>
      </c>
      <c r="L502" s="96" cm="1">
        <f t="array" ref="L502">'Manpower Projection'!$L$16</f>
        <v>51.69</v>
      </c>
      <c r="M502" s="96">
        <f>'Manpower Projection'!$M$16</f>
        <v>83.549310344827575</v>
      </c>
      <c r="N502" s="96">
        <f>IFERROR('Manpower Projection'!H502*'Manpower Projection'!L502,"")</f>
        <v>0</v>
      </c>
      <c r="O502" s="96">
        <f>IFERROR('Manpower Projection'!M502*'Manpower Projection'!H502,"")</f>
        <v>0</v>
      </c>
    </row>
    <row r="503" spans="6:15" ht="15" customHeight="1">
      <c r="F503" s="94"/>
      <c r="G503" s="95"/>
      <c r="H503" s="95"/>
      <c r="I503" s="95"/>
      <c r="J503" s="95"/>
      <c r="K503" s="95">
        <f>IFERROR('Manpower Projection'!H503*'Manpower Projection'!I503*'Manpower Projection'!J503,0)</f>
        <v>0</v>
      </c>
      <c r="L503" s="96" cm="1">
        <f t="array" ref="L503">'Manpower Projection'!$L$16</f>
        <v>51.69</v>
      </c>
      <c r="M503" s="96">
        <f>'Manpower Projection'!$M$16</f>
        <v>83.549310344827575</v>
      </c>
      <c r="N503" s="96">
        <f>IFERROR('Manpower Projection'!H503*'Manpower Projection'!L503,"")</f>
        <v>0</v>
      </c>
      <c r="O503" s="96">
        <f>IFERROR('Manpower Projection'!M503*'Manpower Projection'!H503,"")</f>
        <v>0</v>
      </c>
    </row>
    <row r="504" spans="6:15" ht="15" customHeight="1">
      <c r="F504" s="94"/>
      <c r="G504" s="95"/>
      <c r="H504" s="95"/>
      <c r="I504" s="95"/>
      <c r="J504" s="95"/>
      <c r="K504" s="95">
        <f>IFERROR('Manpower Projection'!H504*'Manpower Projection'!I504*'Manpower Projection'!J504,0)</f>
        <v>0</v>
      </c>
      <c r="L504" s="96" cm="1">
        <f t="array" ref="L504">'Manpower Projection'!$L$16</f>
        <v>51.69</v>
      </c>
      <c r="M504" s="96">
        <f>'Manpower Projection'!$M$16</f>
        <v>83.549310344827575</v>
      </c>
      <c r="N504" s="96">
        <f>IFERROR('Manpower Projection'!H504*'Manpower Projection'!L504,"")</f>
        <v>0</v>
      </c>
      <c r="O504" s="96">
        <f>IFERROR('Manpower Projection'!M504*'Manpower Projection'!H504,"")</f>
        <v>0</v>
      </c>
    </row>
    <row r="505" spans="6:15" ht="15" customHeight="1">
      <c r="F505" s="94"/>
      <c r="G505" s="95"/>
      <c r="H505" s="95"/>
      <c r="I505" s="95"/>
      <c r="J505" s="95"/>
      <c r="K505" s="95">
        <f>IFERROR('Manpower Projection'!H505*'Manpower Projection'!I505*'Manpower Projection'!J505,0)</f>
        <v>0</v>
      </c>
      <c r="L505" s="96" cm="1">
        <f t="array" ref="L505">'Manpower Projection'!$L$16</f>
        <v>51.69</v>
      </c>
      <c r="M505" s="96">
        <f>'Manpower Projection'!$M$16</f>
        <v>83.549310344827575</v>
      </c>
      <c r="N505" s="96">
        <f>IFERROR('Manpower Projection'!H505*'Manpower Projection'!L505,"")</f>
        <v>0</v>
      </c>
      <c r="O505" s="96">
        <f>IFERROR('Manpower Projection'!M505*'Manpower Projection'!H505,"")</f>
        <v>0</v>
      </c>
    </row>
    <row r="506" spans="6:15" ht="15" customHeight="1">
      <c r="F506" s="94"/>
      <c r="G506" s="95"/>
      <c r="H506" s="95"/>
      <c r="I506" s="95"/>
      <c r="J506" s="95"/>
      <c r="K506" s="95">
        <f>IFERROR('Manpower Projection'!H506*'Manpower Projection'!I506*'Manpower Projection'!J506,0)</f>
        <v>0</v>
      </c>
      <c r="L506" s="96" cm="1">
        <f t="array" ref="L506">'Manpower Projection'!$L$16</f>
        <v>51.69</v>
      </c>
      <c r="M506" s="96">
        <f>'Manpower Projection'!$M$16</f>
        <v>83.549310344827575</v>
      </c>
      <c r="N506" s="96">
        <f>IFERROR('Manpower Projection'!H506*'Manpower Projection'!L506,"")</f>
        <v>0</v>
      </c>
      <c r="O506" s="96">
        <f>IFERROR('Manpower Projection'!M506*'Manpower Projection'!H506,"")</f>
        <v>0</v>
      </c>
    </row>
    <row r="507" spans="6:15" ht="15" customHeight="1">
      <c r="F507" s="94"/>
      <c r="G507" s="95"/>
      <c r="H507" s="95"/>
      <c r="I507" s="95"/>
      <c r="J507" s="95"/>
      <c r="K507" s="95">
        <f>IFERROR('Manpower Projection'!H507*'Manpower Projection'!I507*'Manpower Projection'!J507,0)</f>
        <v>0</v>
      </c>
      <c r="L507" s="96" cm="1">
        <f t="array" ref="L507">'Manpower Projection'!$L$16</f>
        <v>51.69</v>
      </c>
      <c r="M507" s="96">
        <f>'Manpower Projection'!$M$16</f>
        <v>83.549310344827575</v>
      </c>
      <c r="N507" s="96">
        <f>IFERROR('Manpower Projection'!H507*'Manpower Projection'!L507,"")</f>
        <v>0</v>
      </c>
      <c r="O507" s="96">
        <f>IFERROR('Manpower Projection'!M507*'Manpower Projection'!H507,"")</f>
        <v>0</v>
      </c>
    </row>
    <row r="508" spans="6:15" ht="15" customHeight="1">
      <c r="F508" s="94"/>
      <c r="G508" s="95"/>
      <c r="H508" s="95"/>
      <c r="I508" s="95"/>
      <c r="J508" s="95"/>
      <c r="K508" s="95">
        <f>IFERROR('Manpower Projection'!H508*'Manpower Projection'!I508*'Manpower Projection'!J508,0)</f>
        <v>0</v>
      </c>
      <c r="L508" s="96" cm="1">
        <f t="array" ref="L508">'Manpower Projection'!$L$16</f>
        <v>51.69</v>
      </c>
      <c r="M508" s="96">
        <f>'Manpower Projection'!$M$16</f>
        <v>83.549310344827575</v>
      </c>
      <c r="N508" s="96">
        <f>IFERROR('Manpower Projection'!H508*'Manpower Projection'!L508,"")</f>
        <v>0</v>
      </c>
      <c r="O508" s="96">
        <f>IFERROR('Manpower Projection'!M508*'Manpower Projection'!H508,"")</f>
        <v>0</v>
      </c>
    </row>
    <row r="509" spans="6:15" ht="15" customHeight="1">
      <c r="F509" s="94"/>
      <c r="G509" s="95"/>
      <c r="H509" s="95"/>
      <c r="I509" s="95"/>
      <c r="J509" s="95"/>
      <c r="K509" s="95">
        <f>IFERROR('Manpower Projection'!H509*'Manpower Projection'!I509*'Manpower Projection'!J509,0)</f>
        <v>0</v>
      </c>
      <c r="L509" s="96" cm="1">
        <f t="array" ref="L509">'Manpower Projection'!$L$16</f>
        <v>51.69</v>
      </c>
      <c r="M509" s="96">
        <f>'Manpower Projection'!$M$16</f>
        <v>83.549310344827575</v>
      </c>
      <c r="N509" s="96">
        <f>IFERROR('Manpower Projection'!H509*'Manpower Projection'!L509,"")</f>
        <v>0</v>
      </c>
      <c r="O509" s="96">
        <f>IFERROR('Manpower Projection'!M509*'Manpower Projection'!H509,"")</f>
        <v>0</v>
      </c>
    </row>
    <row r="510" spans="6:15" ht="15" customHeight="1">
      <c r="F510" s="94"/>
      <c r="G510" s="95"/>
      <c r="H510" s="95"/>
      <c r="I510" s="95"/>
      <c r="J510" s="95"/>
      <c r="K510" s="95">
        <f>IFERROR('Manpower Projection'!H510*'Manpower Projection'!I510*'Manpower Projection'!J510,0)</f>
        <v>0</v>
      </c>
      <c r="L510" s="96" cm="1">
        <f t="array" ref="L510">'Manpower Projection'!$L$16</f>
        <v>51.69</v>
      </c>
      <c r="M510" s="96">
        <f>'Manpower Projection'!$M$16</f>
        <v>83.549310344827575</v>
      </c>
      <c r="N510" s="96">
        <f>IFERROR('Manpower Projection'!H510*'Manpower Projection'!L510,"")</f>
        <v>0</v>
      </c>
      <c r="O510" s="96">
        <f>IFERROR('Manpower Projection'!M510*'Manpower Projection'!H510,"")</f>
        <v>0</v>
      </c>
    </row>
    <row r="511" spans="6:15" ht="15" customHeight="1">
      <c r="F511" s="94"/>
      <c r="G511" s="95"/>
      <c r="H511" s="95"/>
      <c r="I511" s="95"/>
      <c r="J511" s="95"/>
      <c r="K511" s="95">
        <f>IFERROR('Manpower Projection'!H511*'Manpower Projection'!I511*'Manpower Projection'!J511,0)</f>
        <v>0</v>
      </c>
      <c r="L511" s="96" cm="1">
        <f t="array" ref="L511">'Manpower Projection'!$L$16</f>
        <v>51.69</v>
      </c>
      <c r="M511" s="96">
        <f>'Manpower Projection'!$M$16</f>
        <v>83.549310344827575</v>
      </c>
      <c r="N511" s="96">
        <f>IFERROR('Manpower Projection'!H511*'Manpower Projection'!L511,"")</f>
        <v>0</v>
      </c>
      <c r="O511" s="96">
        <f>IFERROR('Manpower Projection'!M511*'Manpower Projection'!H511,"")</f>
        <v>0</v>
      </c>
    </row>
    <row r="512" spans="6:15" ht="15" customHeight="1">
      <c r="F512" s="94"/>
      <c r="G512" s="95"/>
      <c r="H512" s="95"/>
      <c r="I512" s="95"/>
      <c r="J512" s="95"/>
      <c r="K512" s="95">
        <f>IFERROR('Manpower Projection'!H512*'Manpower Projection'!I512*'Manpower Projection'!J512,0)</f>
        <v>0</v>
      </c>
      <c r="L512" s="96" cm="1">
        <f t="array" ref="L512">'Manpower Projection'!$L$16</f>
        <v>51.69</v>
      </c>
      <c r="M512" s="96">
        <f>'Manpower Projection'!$M$16</f>
        <v>83.549310344827575</v>
      </c>
      <c r="N512" s="96">
        <f>IFERROR('Manpower Projection'!H512*'Manpower Projection'!L512,"")</f>
        <v>0</v>
      </c>
      <c r="O512" s="96">
        <f>IFERROR('Manpower Projection'!M512*'Manpower Projection'!H512,"")</f>
        <v>0</v>
      </c>
    </row>
    <row r="513" spans="6:15" ht="15" customHeight="1">
      <c r="F513" s="94"/>
      <c r="G513" s="95"/>
      <c r="H513" s="95"/>
      <c r="I513" s="95"/>
      <c r="J513" s="95"/>
      <c r="K513" s="95">
        <f>IFERROR('Manpower Projection'!H513*'Manpower Projection'!I513*'Manpower Projection'!J513,0)</f>
        <v>0</v>
      </c>
      <c r="L513" s="96" cm="1">
        <f t="array" ref="L513">'Manpower Projection'!$L$16</f>
        <v>51.69</v>
      </c>
      <c r="M513" s="96">
        <f>'Manpower Projection'!$M$16</f>
        <v>83.549310344827575</v>
      </c>
      <c r="N513" s="96">
        <f>IFERROR('Manpower Projection'!H513*'Manpower Projection'!L513,"")</f>
        <v>0</v>
      </c>
      <c r="O513" s="96">
        <f>IFERROR('Manpower Projection'!M513*'Manpower Projection'!H513,"")</f>
        <v>0</v>
      </c>
    </row>
    <row r="514" spans="6:15" ht="15" customHeight="1">
      <c r="F514" s="94"/>
      <c r="G514" s="95"/>
      <c r="H514" s="95"/>
      <c r="I514" s="95"/>
      <c r="J514" s="95"/>
      <c r="K514" s="95">
        <f>IFERROR('Manpower Projection'!H514*'Manpower Projection'!I514*'Manpower Projection'!J514,0)</f>
        <v>0</v>
      </c>
      <c r="L514" s="96" cm="1">
        <f t="array" ref="L514">'Manpower Projection'!$L$16</f>
        <v>51.69</v>
      </c>
      <c r="M514" s="96">
        <f>'Manpower Projection'!$M$16</f>
        <v>83.549310344827575</v>
      </c>
      <c r="N514" s="96">
        <f>IFERROR('Manpower Projection'!H514*'Manpower Projection'!L514,"")</f>
        <v>0</v>
      </c>
      <c r="O514" s="96">
        <f>IFERROR('Manpower Projection'!M514*'Manpower Projection'!H514,"")</f>
        <v>0</v>
      </c>
    </row>
    <row r="515" spans="6:15" ht="15" customHeight="1">
      <c r="F515" s="94"/>
      <c r="G515" s="95"/>
      <c r="H515" s="95"/>
      <c r="I515" s="95"/>
      <c r="J515" s="95"/>
      <c r="K515" s="95">
        <f>IFERROR('Manpower Projection'!H515*'Manpower Projection'!I515*'Manpower Projection'!J515,0)</f>
        <v>0</v>
      </c>
      <c r="L515" s="96" cm="1">
        <f t="array" ref="L515">'Manpower Projection'!$L$16</f>
        <v>51.69</v>
      </c>
      <c r="M515" s="96">
        <f>'Manpower Projection'!$M$16</f>
        <v>83.549310344827575</v>
      </c>
      <c r="N515" s="96">
        <f>IFERROR('Manpower Projection'!H515*'Manpower Projection'!L515,"")</f>
        <v>0</v>
      </c>
      <c r="O515" s="96">
        <f>IFERROR('Manpower Projection'!M515*'Manpower Projection'!H515,"")</f>
        <v>0</v>
      </c>
    </row>
    <row r="516" spans="6:15" ht="15" customHeight="1">
      <c r="F516" s="94"/>
      <c r="G516" s="95"/>
      <c r="H516" s="95"/>
      <c r="I516" s="95"/>
      <c r="J516" s="95"/>
      <c r="K516" s="95">
        <f>IFERROR('Manpower Projection'!H516*'Manpower Projection'!I516*'Manpower Projection'!J516,0)</f>
        <v>0</v>
      </c>
      <c r="L516" s="96" cm="1">
        <f t="array" ref="L516">'Manpower Projection'!$L$16</f>
        <v>51.69</v>
      </c>
      <c r="M516" s="96">
        <f>'Manpower Projection'!$M$16</f>
        <v>83.549310344827575</v>
      </c>
      <c r="N516" s="96">
        <f>IFERROR('Manpower Projection'!H516*'Manpower Projection'!L516,"")</f>
        <v>0</v>
      </c>
      <c r="O516" s="96">
        <f>IFERROR('Manpower Projection'!M516*'Manpower Projection'!H516,"")</f>
        <v>0</v>
      </c>
    </row>
    <row r="517" spans="6:15" ht="15" customHeight="1">
      <c r="F517" s="94"/>
      <c r="G517" s="95"/>
      <c r="H517" s="95"/>
      <c r="I517" s="95"/>
      <c r="J517" s="95"/>
      <c r="K517" s="95">
        <f>IFERROR('Manpower Projection'!H517*'Manpower Projection'!I517*'Manpower Projection'!J517,0)</f>
        <v>0</v>
      </c>
      <c r="L517" s="96" cm="1">
        <f t="array" ref="L517">'Manpower Projection'!$L$16</f>
        <v>51.69</v>
      </c>
      <c r="M517" s="96">
        <f>'Manpower Projection'!$M$16</f>
        <v>83.549310344827575</v>
      </c>
      <c r="N517" s="96">
        <f>IFERROR('Manpower Projection'!H517*'Manpower Projection'!L517,"")</f>
        <v>0</v>
      </c>
      <c r="O517" s="96">
        <f>IFERROR('Manpower Projection'!M517*'Manpower Projection'!H517,"")</f>
        <v>0</v>
      </c>
    </row>
    <row r="518" spans="6:15" ht="15" customHeight="1">
      <c r="F518" s="94"/>
      <c r="G518" s="95"/>
      <c r="H518" s="95"/>
      <c r="I518" s="95"/>
      <c r="J518" s="95"/>
      <c r="K518" s="95">
        <f>IFERROR('Manpower Projection'!H518*'Manpower Projection'!I518*'Manpower Projection'!J518,0)</f>
        <v>0</v>
      </c>
      <c r="L518" s="96" cm="1">
        <f t="array" ref="L518">'Manpower Projection'!$L$16</f>
        <v>51.69</v>
      </c>
      <c r="M518" s="96">
        <f>'Manpower Projection'!$M$16</f>
        <v>83.549310344827575</v>
      </c>
      <c r="N518" s="96">
        <f>IFERROR('Manpower Projection'!H518*'Manpower Projection'!L518,"")</f>
        <v>0</v>
      </c>
      <c r="O518" s="96">
        <f>IFERROR('Manpower Projection'!M518*'Manpower Projection'!H518,"")</f>
        <v>0</v>
      </c>
    </row>
    <row r="519" spans="6:15" ht="15" customHeight="1">
      <c r="F519" s="94"/>
      <c r="G519" s="95"/>
      <c r="H519" s="95"/>
      <c r="I519" s="95"/>
      <c r="J519" s="95"/>
      <c r="K519" s="95">
        <f>IFERROR('Manpower Projection'!H519*'Manpower Projection'!I519*'Manpower Projection'!J519,0)</f>
        <v>0</v>
      </c>
      <c r="L519" s="96" cm="1">
        <f t="array" ref="L519">'Manpower Projection'!$L$16</f>
        <v>51.69</v>
      </c>
      <c r="M519" s="96">
        <f>'Manpower Projection'!$M$16</f>
        <v>83.549310344827575</v>
      </c>
      <c r="N519" s="96">
        <f>IFERROR('Manpower Projection'!H519*'Manpower Projection'!L519,"")</f>
        <v>0</v>
      </c>
      <c r="O519" s="96">
        <f>IFERROR('Manpower Projection'!M519*'Manpower Projection'!H519,"")</f>
        <v>0</v>
      </c>
    </row>
    <row r="520" spans="6:15" ht="15" customHeight="1">
      <c r="F520" s="94"/>
      <c r="G520" s="95"/>
      <c r="H520" s="95"/>
      <c r="I520" s="95"/>
      <c r="J520" s="95"/>
      <c r="K520" s="95">
        <f>IFERROR('Manpower Projection'!H520*'Manpower Projection'!I520*'Manpower Projection'!J520,0)</f>
        <v>0</v>
      </c>
      <c r="L520" s="96" cm="1">
        <f t="array" ref="L520">'Manpower Projection'!$L$16</f>
        <v>51.69</v>
      </c>
      <c r="M520" s="96">
        <f>'Manpower Projection'!$M$16</f>
        <v>83.549310344827575</v>
      </c>
      <c r="N520" s="96">
        <f>IFERROR('Manpower Projection'!H520*'Manpower Projection'!L520,"")</f>
        <v>0</v>
      </c>
      <c r="O520" s="96">
        <f>IFERROR('Manpower Projection'!M520*'Manpower Projection'!H520,"")</f>
        <v>0</v>
      </c>
    </row>
    <row r="521" spans="6:15" ht="15" customHeight="1">
      <c r="F521" s="94"/>
      <c r="G521" s="95"/>
      <c r="H521" s="95"/>
      <c r="I521" s="95"/>
      <c r="J521" s="95"/>
      <c r="K521" s="95">
        <f>IFERROR('Manpower Projection'!H521*'Manpower Projection'!I521*'Manpower Projection'!J521,0)</f>
        <v>0</v>
      </c>
      <c r="L521" s="96" cm="1">
        <f t="array" ref="L521">'Manpower Projection'!$L$16</f>
        <v>51.69</v>
      </c>
      <c r="M521" s="96">
        <f>'Manpower Projection'!$M$16</f>
        <v>83.549310344827575</v>
      </c>
      <c r="N521" s="96">
        <f>IFERROR('Manpower Projection'!H521*'Manpower Projection'!L521,"")</f>
        <v>0</v>
      </c>
      <c r="O521" s="96">
        <f>IFERROR('Manpower Projection'!M521*'Manpower Projection'!H521,"")</f>
        <v>0</v>
      </c>
    </row>
    <row r="522" spans="6:15" ht="15" customHeight="1">
      <c r="F522" s="94"/>
      <c r="G522" s="95"/>
      <c r="H522" s="95"/>
      <c r="I522" s="95"/>
      <c r="J522" s="95"/>
      <c r="K522" s="95">
        <f>IFERROR('Manpower Projection'!H522*'Manpower Projection'!I522*'Manpower Projection'!J522,0)</f>
        <v>0</v>
      </c>
      <c r="L522" s="96" cm="1">
        <f t="array" ref="L522">'Manpower Projection'!$L$16</f>
        <v>51.69</v>
      </c>
      <c r="M522" s="96">
        <f>'Manpower Projection'!$M$16</f>
        <v>83.549310344827575</v>
      </c>
      <c r="N522" s="96">
        <f>IFERROR('Manpower Projection'!H522*'Manpower Projection'!L522,"")</f>
        <v>0</v>
      </c>
      <c r="O522" s="96">
        <f>IFERROR('Manpower Projection'!M522*'Manpower Projection'!H522,"")</f>
        <v>0</v>
      </c>
    </row>
    <row r="523" spans="6:15" ht="15" customHeight="1">
      <c r="F523" s="94"/>
      <c r="G523" s="95"/>
      <c r="H523" s="95"/>
      <c r="I523" s="95"/>
      <c r="J523" s="95"/>
      <c r="K523" s="95">
        <f>IFERROR('Manpower Projection'!H523*'Manpower Projection'!I523*'Manpower Projection'!J523,0)</f>
        <v>0</v>
      </c>
      <c r="L523" s="96" cm="1">
        <f t="array" ref="L523">'Manpower Projection'!$L$16</f>
        <v>51.69</v>
      </c>
      <c r="M523" s="96">
        <f>'Manpower Projection'!$M$16</f>
        <v>83.549310344827575</v>
      </c>
      <c r="N523" s="96">
        <f>IFERROR('Manpower Projection'!H523*'Manpower Projection'!L523,"")</f>
        <v>0</v>
      </c>
      <c r="O523" s="96">
        <f>IFERROR('Manpower Projection'!M523*'Manpower Projection'!H523,"")</f>
        <v>0</v>
      </c>
    </row>
    <row r="524" spans="6:15" ht="15" customHeight="1">
      <c r="F524" s="94"/>
      <c r="G524" s="95"/>
      <c r="H524" s="95"/>
      <c r="I524" s="95"/>
      <c r="J524" s="95"/>
      <c r="K524" s="95">
        <f>IFERROR('Manpower Projection'!H524*'Manpower Projection'!I524*'Manpower Projection'!J524,0)</f>
        <v>0</v>
      </c>
      <c r="L524" s="96" cm="1">
        <f t="array" ref="L524">'Manpower Projection'!$L$16</f>
        <v>51.69</v>
      </c>
      <c r="M524" s="96">
        <f>'Manpower Projection'!$M$16</f>
        <v>83.549310344827575</v>
      </c>
      <c r="N524" s="96">
        <f>IFERROR('Manpower Projection'!H524*'Manpower Projection'!L524,"")</f>
        <v>0</v>
      </c>
      <c r="O524" s="96">
        <f>IFERROR('Manpower Projection'!M524*'Manpower Projection'!H524,"")</f>
        <v>0</v>
      </c>
    </row>
    <row r="525" spans="6:15" ht="15" customHeight="1">
      <c r="F525" s="94"/>
      <c r="G525" s="95"/>
      <c r="H525" s="95"/>
      <c r="I525" s="95"/>
      <c r="J525" s="95"/>
      <c r="K525" s="95">
        <f>IFERROR('Manpower Projection'!H525*'Manpower Projection'!I525*'Manpower Projection'!J525,0)</f>
        <v>0</v>
      </c>
      <c r="L525" s="96" cm="1">
        <f t="array" ref="L525">'Manpower Projection'!$L$16</f>
        <v>51.69</v>
      </c>
      <c r="M525" s="96">
        <f>'Manpower Projection'!$M$16</f>
        <v>83.549310344827575</v>
      </c>
      <c r="N525" s="96">
        <f>IFERROR('Manpower Projection'!H525*'Manpower Projection'!L525,"")</f>
        <v>0</v>
      </c>
      <c r="O525" s="96">
        <f>IFERROR('Manpower Projection'!M525*'Manpower Projection'!H525,"")</f>
        <v>0</v>
      </c>
    </row>
    <row r="526" spans="6:15" ht="15" customHeight="1">
      <c r="F526" s="94"/>
      <c r="G526" s="95"/>
      <c r="H526" s="95"/>
      <c r="I526" s="95"/>
      <c r="J526" s="95"/>
      <c r="K526" s="95">
        <f>IFERROR('Manpower Projection'!H526*'Manpower Projection'!I526*'Manpower Projection'!J526,0)</f>
        <v>0</v>
      </c>
      <c r="L526" s="96" cm="1">
        <f t="array" ref="L526">'Manpower Projection'!$L$16</f>
        <v>51.69</v>
      </c>
      <c r="M526" s="96">
        <f>'Manpower Projection'!$M$16</f>
        <v>83.549310344827575</v>
      </c>
      <c r="N526" s="96">
        <f>IFERROR('Manpower Projection'!H526*'Manpower Projection'!L526,"")</f>
        <v>0</v>
      </c>
      <c r="O526" s="96">
        <f>IFERROR('Manpower Projection'!M526*'Manpower Projection'!H526,"")</f>
        <v>0</v>
      </c>
    </row>
    <row r="527" spans="6:15" ht="15" customHeight="1">
      <c r="F527" s="94"/>
      <c r="G527" s="95"/>
      <c r="H527" s="95"/>
      <c r="I527" s="95"/>
      <c r="J527" s="95"/>
      <c r="K527" s="95">
        <f>IFERROR('Manpower Projection'!H527*'Manpower Projection'!I527*'Manpower Projection'!J527,0)</f>
        <v>0</v>
      </c>
      <c r="L527" s="96" cm="1">
        <f t="array" ref="L527">'Manpower Projection'!$L$16</f>
        <v>51.69</v>
      </c>
      <c r="M527" s="96">
        <f>'Manpower Projection'!$M$16</f>
        <v>83.549310344827575</v>
      </c>
      <c r="N527" s="96">
        <f>IFERROR('Manpower Projection'!H527*'Manpower Projection'!L527,"")</f>
        <v>0</v>
      </c>
      <c r="O527" s="96">
        <f>IFERROR('Manpower Projection'!M527*'Manpower Projection'!H527,"")</f>
        <v>0</v>
      </c>
    </row>
    <row r="528" spans="6:15" ht="15" customHeight="1">
      <c r="F528" s="94"/>
      <c r="G528" s="95"/>
      <c r="H528" s="95"/>
      <c r="I528" s="95"/>
      <c r="J528" s="95"/>
      <c r="K528" s="95">
        <f>IFERROR('Manpower Projection'!H528*'Manpower Projection'!I528*'Manpower Projection'!J528,0)</f>
        <v>0</v>
      </c>
      <c r="L528" s="96" cm="1">
        <f t="array" ref="L528">'Manpower Projection'!$L$16</f>
        <v>51.69</v>
      </c>
      <c r="M528" s="96">
        <f>'Manpower Projection'!$M$16</f>
        <v>83.549310344827575</v>
      </c>
      <c r="N528" s="96">
        <f>IFERROR('Manpower Projection'!H528*'Manpower Projection'!L528,"")</f>
        <v>0</v>
      </c>
      <c r="O528" s="96">
        <f>IFERROR('Manpower Projection'!M528*'Manpower Projection'!H528,"")</f>
        <v>0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5148-8231-FCF8-D308-0E3086A7F1FC}">
  <dimension ref="A1:Z52"/>
  <sheetViews>
    <sheetView zoomScale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10" defaultColWidth="8.83203125" defaultRowHeight="15" customHeight="1"/>
  <cols>
    <col min="1" max="1" width="12.1640625" hidden="1" customWidth="1"/>
    <col min="2" max="2" width="42.83203125" customWidth="1"/>
    <col min="3" max="3" width="8.83203125" style="9" customWidth="1"/>
    <col min="4" max="6" width="17.1640625" style="9" customWidth="1"/>
    <col min="7" max="7" width="17.1640625" style="20" customWidth="1"/>
    <col min="8" max="23" width="17.1640625" style="9" customWidth="1"/>
    <col min="24" max="24" width="12.1640625" customWidth="1"/>
    <col min="25" max="26" width="12.1640625" hidden="1" customWidth="1"/>
  </cols>
  <sheetData>
    <row r="1" spans="1:26" ht="15" customHeight="1">
      <c r="A1" s="2"/>
      <c r="B1" t="s">
        <v>1</v>
      </c>
      <c r="H1" s="9">
        <f>'Manpower Projection'!M25</f>
        <v>-12624.475796338098</v>
      </c>
      <c r="I1" s="158" t="s">
        <v>92</v>
      </c>
      <c r="J1" s="159"/>
      <c r="K1" s="97" t="e" cm="1">
        <f t="array" ref="K1">'Manpower Projection'!I13</f>
        <v>#DIV/0!</v>
      </c>
      <c r="L1" s="158" t="s">
        <v>93</v>
      </c>
      <c r="M1" s="159"/>
      <c r="N1" s="97" t="e">
        <f>'Manpower Projection'!I14-'Manpower Projection'!I13</f>
        <v>#DIV/0!</v>
      </c>
    </row>
    <row r="2" spans="1:26" ht="15" customHeight="1">
      <c r="B2" s="2" t="s">
        <v>94</v>
      </c>
    </row>
    <row r="3" spans="1:26" ht="15" customHeight="1">
      <c r="A3" s="2" t="s">
        <v>95</v>
      </c>
      <c r="B3">
        <v>12</v>
      </c>
      <c r="C3" s="2">
        <v>2025</v>
      </c>
      <c r="D3" s="98" t="s">
        <v>36</v>
      </c>
    </row>
    <row r="7" spans="1:26" ht="15" customHeight="1">
      <c r="B7" s="2"/>
    </row>
    <row r="9" spans="1:26" ht="15" customHeight="1">
      <c r="B9" s="2"/>
    </row>
    <row r="10" spans="1:26" ht="15" customHeight="1">
      <c r="D10" s="99">
        <f>SUM(LaborProj[Original Hours Estimate])+SUM(NTPLH[Original Hours Estimate])</f>
        <v>12878</v>
      </c>
      <c r="E10" s="99">
        <f>SUM(LaborProj[Change Order Hours Estimate])+SUM(NTPLH[Change Order Hours Estimate])</f>
        <v>0</v>
      </c>
      <c r="F10" s="99" t="e">
        <f>SUM(LaborProj[Current Labor Hours Estimate])+SUM(NTPLH[Current Labor Hours Estimate])</f>
        <v>#REF!</v>
      </c>
      <c r="G10" s="99">
        <f>SUM(LaborProj[JTD Hours])+SUM(NTPLH[JTD Hours])</f>
        <v>290</v>
      </c>
      <c r="H10" s="100">
        <f>IFERROR(G10/M10,0)</f>
        <v>2.2455421696808597E-2</v>
      </c>
      <c r="I10" s="99">
        <f>SUM(LaborProj[Base Hrs to Complete])+SUM(NTPLH[Base Hrs to Complete])</f>
        <v>12624.475796338098</v>
      </c>
      <c r="J10" s="99"/>
      <c r="K10" s="99">
        <f>SUM(LaborProj[Productivity Hours])+SUM(NTPLH[Productivity Hours])</f>
        <v>0</v>
      </c>
      <c r="L10" s="99">
        <f>SUM(LaborProj[Projected Hrs to Complete])+SUM(NTPLH[Projected Hrs to Complete])</f>
        <v>12624.475796338098</v>
      </c>
      <c r="M10" s="99">
        <f>SUM(LaborProj[Total Hrs])+SUM(NTPLH[Total Hrs])</f>
        <v>12914.475796338098</v>
      </c>
      <c r="N10" s="99">
        <f>SUM(LaborProj[(Under) / Over ])+SUM(NTPLH[(Under) / Over])</f>
        <v>36.475796338098831</v>
      </c>
      <c r="O10" s="99">
        <f>SUM(LaborProj[ Original Labor Dollar Est. ])+SUM(NTPLH[Original Labor Dollar Est.])</f>
        <v>508684</v>
      </c>
      <c r="P10" s="99">
        <f>SUM(LaborProj[ Change Order Labor Dollar Est. ])+SUM(NTPLH[Change Order Labor Dollar Est.])</f>
        <v>0</v>
      </c>
      <c r="Q10" s="99" t="e">
        <f>SUM(LaborProj[[ Current Labor Dollar Estimate ]])+SUM(NTPLH[[ Current Labor Dollar Estimate ]])</f>
        <v>#REF!</v>
      </c>
      <c r="R10" s="99">
        <f>SUM(LaborProj[[ JTD Labor Cost ]])+SUM(NTPLH[[ JTD Labor Cost ]])</f>
        <v>14989.169999999998</v>
      </c>
      <c r="S10" s="99">
        <f>SUM(LaborProj[[ Est Labor to Complete]])+SUM(NTPLH[[ Est Labor to Complete]])</f>
        <v>0</v>
      </c>
      <c r="T10" s="99">
        <f>SUM(LaborProj[ Est. Total Labor ])+SUM(NTPLH[ Est. Total Labor ])</f>
        <v>0</v>
      </c>
      <c r="U10" s="99">
        <f>SUM(LaborProj[(Under) / Over  ])+SUM(NTPLH[(Under)/Over])</f>
        <v>0</v>
      </c>
      <c r="V10" s="99">
        <f>SUM(LaborProj[ Est. $/Hour ])+SUM(NTPLH[Est. $/Hour])</f>
        <v>790.00851716422756</v>
      </c>
      <c r="W10" s="99">
        <f>SUM(LaborProj[ JTD $/ Hr ])+SUM(NTPLH[JTD $/ Hr])</f>
        <v>211.51135222040472</v>
      </c>
      <c r="X10" s="99">
        <f>SUM(LaborProj[(Under) / Over   ])+SUM(NTPLH[(Under) / Over2])</f>
        <v>-578.49716494382278</v>
      </c>
    </row>
    <row r="11" spans="1:26" s="101" customFormat="1" ht="28.5" customHeight="1">
      <c r="B11" s="102" t="s">
        <v>96</v>
      </c>
      <c r="C11" s="103" t="s">
        <v>97</v>
      </c>
      <c r="D11" s="104" t="s">
        <v>98</v>
      </c>
      <c r="E11" s="104" t="s">
        <v>99</v>
      </c>
      <c r="F11" s="104" t="s">
        <v>100</v>
      </c>
      <c r="G11" s="105" t="s">
        <v>101</v>
      </c>
      <c r="H11" s="106" t="s">
        <v>102</v>
      </c>
      <c r="I11" s="105" t="s">
        <v>103</v>
      </c>
      <c r="J11" s="107" t="s">
        <v>104</v>
      </c>
      <c r="K11" s="105" t="s">
        <v>105</v>
      </c>
      <c r="L11" s="105" t="s">
        <v>106</v>
      </c>
      <c r="M11" s="105" t="s">
        <v>107</v>
      </c>
      <c r="N11" s="108" t="s">
        <v>108</v>
      </c>
      <c r="O11" s="109" t="s">
        <v>109</v>
      </c>
      <c r="P11" s="109" t="s">
        <v>110</v>
      </c>
      <c r="Q11" s="109" t="s">
        <v>111</v>
      </c>
      <c r="R11" s="110" t="s">
        <v>112</v>
      </c>
      <c r="S11" s="110" t="s">
        <v>113</v>
      </c>
      <c r="T11" s="110" t="s">
        <v>114</v>
      </c>
      <c r="U11" s="111" t="s">
        <v>115</v>
      </c>
      <c r="V11" s="110" t="s">
        <v>116</v>
      </c>
      <c r="W11" s="110" t="s">
        <v>117</v>
      </c>
      <c r="X11" s="111" t="s">
        <v>118</v>
      </c>
      <c r="Y11" s="112" t="s">
        <v>119</v>
      </c>
      <c r="Z11" s="112" t="s">
        <v>120</v>
      </c>
    </row>
    <row r="12" spans="1:26" ht="15" customHeight="1">
      <c r="B12" s="113" t="s">
        <v>121</v>
      </c>
      <c r="C12" s="114" t="s">
        <v>122</v>
      </c>
      <c r="D12" s="8">
        <v>0</v>
      </c>
      <c r="E12" s="9">
        <f>IFERROR('Labor Projection'!F12-'Labor Projection'!D12,"")</f>
        <v>0</v>
      </c>
      <c r="F12" s="9">
        <v>0</v>
      </c>
      <c r="G12" s="9">
        <v>16</v>
      </c>
      <c r="H12" s="115"/>
      <c r="I12" s="9">
        <f>IFERROR(IF('Labor Projection'!H12=0,'Labor Projection'!F12,(('Labor Projection'!G12/'Labor Projection'!H12)-'Labor Projection'!G12)),"")</f>
        <v>0</v>
      </c>
      <c r="J12" s="115"/>
      <c r="K12" s="9">
        <f>IFERROR('Labor Projection'!I12*'Labor Projection'!J12,"")</f>
        <v>0</v>
      </c>
      <c r="L12" s="9">
        <f>IFERROR('Labor Projection'!I12+'Labor Projection'!K12,"")</f>
        <v>0</v>
      </c>
      <c r="M12" s="9">
        <f>IFERROR('Labor Projection'!L12+'Labor Projection'!G12,"")</f>
        <v>16</v>
      </c>
      <c r="N12" s="11">
        <f>IFERROR('Labor Projection'!M12-'Labor Projection'!F12,"")</f>
        <v>16</v>
      </c>
      <c r="O12" s="9">
        <v>0</v>
      </c>
      <c r="P12" s="9">
        <f>IFERROR('Labor Projection'!Q12-'Labor Projection'!O12,"")</f>
        <v>0</v>
      </c>
      <c r="Q12" s="9">
        <v>0</v>
      </c>
      <c r="R12" s="9">
        <v>901.6</v>
      </c>
      <c r="S12" s="9" t="str">
        <f>IFERROR('Labor Projection'!L12*'Labor Projection'!$K$1,"")</f>
        <v/>
      </c>
      <c r="T12" s="9" t="str">
        <f>IFERROR('Labor Projection'!R12+'Labor Projection'!S12,"")</f>
        <v/>
      </c>
      <c r="U12" s="11" t="str">
        <f>IFERROR('Labor Projection'!T12-'Labor Projection'!Q12,"")</f>
        <v/>
      </c>
      <c r="V12" s="9">
        <f>IFERROR(IF('Labor Projection'!D12=0,0,'Labor Projection'!O12/'Labor Projection'!D12),"")</f>
        <v>0</v>
      </c>
      <c r="W12" s="9">
        <f>IFERROR(IF('Labor Projection'!G12=0,0,'Labor Projection'!R12/'Labor Projection'!G12),"")</f>
        <v>56.35</v>
      </c>
      <c r="X12" s="11">
        <f>IFERROR('Labor Projection'!W12-'Labor Projection'!V12,"")</f>
        <v>56.35</v>
      </c>
      <c r="Y12" s="2" t="s">
        <v>122</v>
      </c>
      <c r="Z12" s="2" t="s">
        <v>123</v>
      </c>
    </row>
    <row r="13" spans="1:26" ht="15" customHeight="1">
      <c r="B13" s="113" t="s">
        <v>121</v>
      </c>
      <c r="C13" s="114" t="s">
        <v>124</v>
      </c>
      <c r="D13" s="8">
        <v>0</v>
      </c>
      <c r="E13" s="9">
        <f>IFERROR('Labor Projection'!F13-'Labor Projection'!D13,"")</f>
        <v>0</v>
      </c>
      <c r="F13" s="9">
        <v>0</v>
      </c>
      <c r="G13" s="9"/>
      <c r="H13" s="115"/>
      <c r="I13" s="9">
        <f>IFERROR(IF('Labor Projection'!H13=0,'Labor Projection'!F13,(('Labor Projection'!G13/'Labor Projection'!H13)-'Labor Projection'!G13)),"")</f>
        <v>0</v>
      </c>
      <c r="J13" s="115"/>
      <c r="K13" s="9">
        <f>IFERROR('Labor Projection'!I13*'Labor Projection'!J13,"")</f>
        <v>0</v>
      </c>
      <c r="L13" s="9">
        <f>IFERROR('Labor Projection'!I13+'Labor Projection'!K13,"")</f>
        <v>0</v>
      </c>
      <c r="M13" s="9">
        <f>IFERROR('Labor Projection'!L13+'Labor Projection'!G13,"")</f>
        <v>0</v>
      </c>
      <c r="N13" s="11">
        <f>IFERROR('Labor Projection'!M13-'Labor Projection'!F13,"")</f>
        <v>0</v>
      </c>
      <c r="O13" s="9">
        <v>0</v>
      </c>
      <c r="P13" s="9">
        <f>IFERROR('Labor Projection'!Q13-'Labor Projection'!O13,"")</f>
        <v>0</v>
      </c>
      <c r="Q13" s="9">
        <v>0</v>
      </c>
      <c r="S13" s="9" t="str">
        <f>IFERROR('Labor Projection'!L13*'Labor Projection'!$K$1,"")</f>
        <v/>
      </c>
      <c r="T13" s="9" t="str">
        <f>IFERROR('Labor Projection'!R13+'Labor Projection'!S13,"")</f>
        <v/>
      </c>
      <c r="U13" s="11" t="str">
        <f>IFERROR('Labor Projection'!T13-'Labor Projection'!Q13,"")</f>
        <v/>
      </c>
      <c r="V13" s="9">
        <f>IFERROR(IF('Labor Projection'!D13=0,0,'Labor Projection'!O13/'Labor Projection'!D13),"")</f>
        <v>0</v>
      </c>
      <c r="W13" s="9">
        <f>IFERROR(IF('Labor Projection'!G13=0,0,'Labor Projection'!R13/'Labor Projection'!G13),"")</f>
        <v>0</v>
      </c>
      <c r="X13" s="11">
        <f>IFERROR('Labor Projection'!W13-'Labor Projection'!V13,"")</f>
        <v>0</v>
      </c>
      <c r="Y13" s="2" t="s">
        <v>124</v>
      </c>
      <c r="Z13" s="2" t="s">
        <v>123</v>
      </c>
    </row>
    <row r="14" spans="1:26" ht="15" customHeight="1">
      <c r="B14" s="113" t="s">
        <v>121</v>
      </c>
      <c r="C14" s="114" t="s">
        <v>125</v>
      </c>
      <c r="D14" s="8">
        <v>0</v>
      </c>
      <c r="E14" s="9">
        <f>IFERROR('Labor Projection'!F14-'Labor Projection'!D14,"")</f>
        <v>0</v>
      </c>
      <c r="F14" s="9">
        <v>0</v>
      </c>
      <c r="G14" s="9"/>
      <c r="H14" s="115"/>
      <c r="I14" s="9">
        <f>IFERROR(IF('Labor Projection'!H14=0,'Labor Projection'!F14,(('Labor Projection'!G14/'Labor Projection'!H14)-'Labor Projection'!G14)),"")</f>
        <v>0</v>
      </c>
      <c r="J14" s="115"/>
      <c r="K14" s="9">
        <f>IFERROR('Labor Projection'!I14*'Labor Projection'!J14,"")</f>
        <v>0</v>
      </c>
      <c r="L14" s="9">
        <f>IFERROR('Labor Projection'!I14+'Labor Projection'!K14,"")</f>
        <v>0</v>
      </c>
      <c r="M14" s="9">
        <f>IFERROR('Labor Projection'!L14+'Labor Projection'!G14,"")</f>
        <v>0</v>
      </c>
      <c r="N14" s="11">
        <f>IFERROR('Labor Projection'!M14-'Labor Projection'!F14,"")</f>
        <v>0</v>
      </c>
      <c r="O14" s="9">
        <v>0</v>
      </c>
      <c r="P14" s="9">
        <f>IFERROR('Labor Projection'!Q14-'Labor Projection'!O14,"")</f>
        <v>0</v>
      </c>
      <c r="Q14" s="9">
        <v>0</v>
      </c>
      <c r="S14" s="9" t="str">
        <f>IFERROR('Labor Projection'!L14*'Labor Projection'!$K$1,"")</f>
        <v/>
      </c>
      <c r="T14" s="9" t="str">
        <f>IFERROR('Labor Projection'!R14+'Labor Projection'!S14,"")</f>
        <v/>
      </c>
      <c r="U14" s="11" t="str">
        <f>IFERROR('Labor Projection'!T14-'Labor Projection'!Q14,"")</f>
        <v/>
      </c>
      <c r="V14" s="9">
        <f>IFERROR(IF('Labor Projection'!D14=0,0,'Labor Projection'!O14/'Labor Projection'!D14),"")</f>
        <v>0</v>
      </c>
      <c r="W14" s="9">
        <f>IFERROR(IF('Labor Projection'!G14=0,0,'Labor Projection'!R14/'Labor Projection'!G14),"")</f>
        <v>0</v>
      </c>
      <c r="X14" s="11">
        <f>IFERROR('Labor Projection'!W14-'Labor Projection'!V14,"")</f>
        <v>0</v>
      </c>
      <c r="Y14" s="2" t="s">
        <v>125</v>
      </c>
      <c r="Z14" s="2" t="s">
        <v>123</v>
      </c>
    </row>
    <row r="15" spans="1:26" ht="15" customHeight="1">
      <c r="B15" s="113" t="s">
        <v>121</v>
      </c>
      <c r="C15" s="114" t="s">
        <v>126</v>
      </c>
      <c r="D15" s="8">
        <v>0</v>
      </c>
      <c r="E15" s="9">
        <f>IFERROR('Labor Projection'!F15-'Labor Projection'!D15,"")</f>
        <v>0</v>
      </c>
      <c r="F15" s="9">
        <v>0</v>
      </c>
      <c r="G15" s="9"/>
      <c r="H15" s="115"/>
      <c r="I15" s="9">
        <f>IFERROR(IF('Labor Projection'!H15=0,'Labor Projection'!F15,(('Labor Projection'!G15/'Labor Projection'!H15)-'Labor Projection'!G15)),"")</f>
        <v>0</v>
      </c>
      <c r="J15" s="115"/>
      <c r="K15" s="9">
        <f>IFERROR('Labor Projection'!I15*'Labor Projection'!J15,"")</f>
        <v>0</v>
      </c>
      <c r="L15" s="9">
        <f>IFERROR('Labor Projection'!I15+'Labor Projection'!K15,"")</f>
        <v>0</v>
      </c>
      <c r="M15" s="9">
        <f>IFERROR('Labor Projection'!L15+'Labor Projection'!G15,"")</f>
        <v>0</v>
      </c>
      <c r="N15" s="11">
        <f>IFERROR('Labor Projection'!M15-'Labor Projection'!F15,"")</f>
        <v>0</v>
      </c>
      <c r="O15" s="9">
        <v>0</v>
      </c>
      <c r="P15" s="9">
        <f>IFERROR('Labor Projection'!Q15-'Labor Projection'!O15,"")</f>
        <v>0</v>
      </c>
      <c r="Q15" s="9">
        <v>0</v>
      </c>
      <c r="S15" s="9" t="str">
        <f>IFERROR('Labor Projection'!L15*'Labor Projection'!$K$1,"")</f>
        <v/>
      </c>
      <c r="T15" s="9" t="str">
        <f>IFERROR('Labor Projection'!R15+'Labor Projection'!S15,"")</f>
        <v/>
      </c>
      <c r="U15" s="11" t="str">
        <f>IFERROR('Labor Projection'!T15-'Labor Projection'!Q15,"")</f>
        <v/>
      </c>
      <c r="V15" s="9">
        <f>IFERROR(IF('Labor Projection'!D15=0,0,'Labor Projection'!O15/'Labor Projection'!D15),"")</f>
        <v>0</v>
      </c>
      <c r="W15" s="9">
        <f>IFERROR(IF('Labor Projection'!G15=0,0,'Labor Projection'!R15/'Labor Projection'!G15),"")</f>
        <v>0</v>
      </c>
      <c r="X15" s="11">
        <f>IFERROR('Labor Projection'!W15-'Labor Projection'!V15,"")</f>
        <v>0</v>
      </c>
      <c r="Y15" s="2" t="s">
        <v>126</v>
      </c>
      <c r="Z15" s="2" t="s">
        <v>123</v>
      </c>
    </row>
    <row r="16" spans="1:26" ht="15" customHeight="1">
      <c r="B16" s="113" t="s">
        <v>121</v>
      </c>
      <c r="C16" s="114" t="s">
        <v>127</v>
      </c>
      <c r="D16" s="8">
        <v>0</v>
      </c>
      <c r="E16" s="9">
        <f>IFERROR('Labor Projection'!F16-'Labor Projection'!D16,"")</f>
        <v>0</v>
      </c>
      <c r="F16" s="9">
        <v>0</v>
      </c>
      <c r="G16" s="9"/>
      <c r="H16" s="115"/>
      <c r="I16" s="9">
        <f>IFERROR(IF('Labor Projection'!H16=0,'Labor Projection'!F16,(('Labor Projection'!G16/'Labor Projection'!H16)-'Labor Projection'!G16)),"")</f>
        <v>0</v>
      </c>
      <c r="J16" s="115"/>
      <c r="K16" s="9">
        <f>IFERROR('Labor Projection'!I16*'Labor Projection'!J16,"")</f>
        <v>0</v>
      </c>
      <c r="L16" s="9">
        <f>IFERROR('Labor Projection'!I16+'Labor Projection'!K16,"")</f>
        <v>0</v>
      </c>
      <c r="M16" s="9">
        <f>IFERROR('Labor Projection'!L16+'Labor Projection'!G16,"")</f>
        <v>0</v>
      </c>
      <c r="N16" s="11">
        <f>IFERROR('Labor Projection'!M16-'Labor Projection'!F16,"")</f>
        <v>0</v>
      </c>
      <c r="O16" s="9">
        <v>0</v>
      </c>
      <c r="P16" s="9">
        <f>IFERROR('Labor Projection'!Q16-'Labor Projection'!O16,"")</f>
        <v>0</v>
      </c>
      <c r="Q16" s="9">
        <v>0</v>
      </c>
      <c r="S16" s="9" t="str">
        <f>IFERROR('Labor Projection'!L16*'Labor Projection'!$K$1,"")</f>
        <v/>
      </c>
      <c r="T16" s="9" t="str">
        <f>IFERROR('Labor Projection'!R16+'Labor Projection'!S16,"")</f>
        <v/>
      </c>
      <c r="U16" s="11" t="str">
        <f>IFERROR('Labor Projection'!T16-'Labor Projection'!Q16,"")</f>
        <v/>
      </c>
      <c r="V16" s="9">
        <f>IFERROR(IF('Labor Projection'!D16=0,0,'Labor Projection'!O16/'Labor Projection'!D16),"")</f>
        <v>0</v>
      </c>
      <c r="W16" s="9">
        <f>IFERROR(IF('Labor Projection'!G16=0,0,'Labor Projection'!R16/'Labor Projection'!G16),"")</f>
        <v>0</v>
      </c>
      <c r="X16" s="11">
        <f>IFERROR('Labor Projection'!W16-'Labor Projection'!V16,"")</f>
        <v>0</v>
      </c>
      <c r="Y16" s="2" t="s">
        <v>127</v>
      </c>
      <c r="Z16" s="2" t="s">
        <v>123</v>
      </c>
    </row>
    <row r="17" spans="2:26" ht="15" customHeight="1">
      <c r="B17" s="113" t="s">
        <v>128</v>
      </c>
      <c r="C17" s="114" t="s">
        <v>122</v>
      </c>
      <c r="D17" s="8">
        <v>0</v>
      </c>
      <c r="E17" s="9">
        <f>IFERROR('Labor Projection'!F17-'Labor Projection'!D17,"")</f>
        <v>0</v>
      </c>
      <c r="F17" s="9">
        <v>0</v>
      </c>
      <c r="G17" s="9"/>
      <c r="H17" s="115"/>
      <c r="I17" s="9">
        <f>IFERROR(IF('Labor Projection'!H17=0,'Labor Projection'!F17,(('Labor Projection'!G17/'Labor Projection'!H17)-'Labor Projection'!G17)),"")</f>
        <v>0</v>
      </c>
      <c r="J17" s="115"/>
      <c r="K17" s="9">
        <f>IFERROR('Labor Projection'!I17*'Labor Projection'!J17,"")</f>
        <v>0</v>
      </c>
      <c r="L17" s="9">
        <f>IFERROR('Labor Projection'!I17+'Labor Projection'!K17,"")</f>
        <v>0</v>
      </c>
      <c r="M17" s="9">
        <f>IFERROR('Labor Projection'!L17+'Labor Projection'!G17,"")</f>
        <v>0</v>
      </c>
      <c r="N17" s="11">
        <f>IFERROR('Labor Projection'!M17-'Labor Projection'!F17,"")</f>
        <v>0</v>
      </c>
      <c r="O17" s="9">
        <v>0</v>
      </c>
      <c r="P17" s="9">
        <f>IFERROR('Labor Projection'!Q17-'Labor Projection'!O17,"")</f>
        <v>0</v>
      </c>
      <c r="Q17" s="9">
        <v>0</v>
      </c>
      <c r="S17" s="9" t="str">
        <f>IFERROR('Labor Projection'!L17*'Labor Projection'!$K$1,"")</f>
        <v/>
      </c>
      <c r="T17" s="9" t="str">
        <f>IFERROR('Labor Projection'!R17+'Labor Projection'!S17,"")</f>
        <v/>
      </c>
      <c r="U17" s="11" t="str">
        <f>IFERROR('Labor Projection'!T17-'Labor Projection'!Q17,"")</f>
        <v/>
      </c>
      <c r="V17" s="9">
        <f>IFERROR(IF('Labor Projection'!D17=0,0,'Labor Projection'!O17/'Labor Projection'!D17),"")</f>
        <v>0</v>
      </c>
      <c r="W17" s="9">
        <f>IFERROR(IF('Labor Projection'!G17=0,0,'Labor Projection'!R17/'Labor Projection'!G17),"")</f>
        <v>0</v>
      </c>
      <c r="X17" s="11">
        <f>IFERROR('Labor Projection'!W17-'Labor Projection'!V17,"")</f>
        <v>0</v>
      </c>
      <c r="Y17" s="2" t="s">
        <v>122</v>
      </c>
      <c r="Z17" s="2" t="s">
        <v>123</v>
      </c>
    </row>
    <row r="18" spans="2:26" ht="15" customHeight="1">
      <c r="B18" s="113" t="s">
        <v>128</v>
      </c>
      <c r="C18" s="114" t="s">
        <v>124</v>
      </c>
      <c r="D18" s="8">
        <v>0</v>
      </c>
      <c r="E18" s="9">
        <f>IFERROR('Labor Projection'!F18-'Labor Projection'!D18,"")</f>
        <v>0</v>
      </c>
      <c r="F18" s="9">
        <v>0</v>
      </c>
      <c r="G18" s="9"/>
      <c r="H18" s="115"/>
      <c r="I18" s="9">
        <f>IFERROR(IF('Labor Projection'!H18=0,'Labor Projection'!F18,(('Labor Projection'!G18/'Labor Projection'!H18)-'Labor Projection'!G18)),"")</f>
        <v>0</v>
      </c>
      <c r="J18" s="115"/>
      <c r="K18" s="9">
        <f>IFERROR('Labor Projection'!I18*'Labor Projection'!J18,"")</f>
        <v>0</v>
      </c>
      <c r="L18" s="9">
        <f>IFERROR('Labor Projection'!I18+'Labor Projection'!K18,"")</f>
        <v>0</v>
      </c>
      <c r="M18" s="9">
        <f>IFERROR('Labor Projection'!L18+'Labor Projection'!G18,"")</f>
        <v>0</v>
      </c>
      <c r="N18" s="11">
        <f>IFERROR('Labor Projection'!M18-'Labor Projection'!F18,"")</f>
        <v>0</v>
      </c>
      <c r="O18" s="9">
        <v>0</v>
      </c>
      <c r="P18" s="9">
        <f>IFERROR('Labor Projection'!Q18-'Labor Projection'!O18,"")</f>
        <v>0</v>
      </c>
      <c r="Q18" s="9">
        <v>0</v>
      </c>
      <c r="S18" s="9" t="str">
        <f>IFERROR('Labor Projection'!L18*'Labor Projection'!$K$1,"")</f>
        <v/>
      </c>
      <c r="T18" s="9" t="str">
        <f>IFERROR('Labor Projection'!R18+'Labor Projection'!S18,"")</f>
        <v/>
      </c>
      <c r="U18" s="11" t="str">
        <f>IFERROR('Labor Projection'!T18-'Labor Projection'!Q18,"")</f>
        <v/>
      </c>
      <c r="V18" s="9">
        <f>IFERROR(IF('Labor Projection'!D18=0,0,'Labor Projection'!O18/'Labor Projection'!D18),"")</f>
        <v>0</v>
      </c>
      <c r="W18" s="9">
        <f>IFERROR(IF('Labor Projection'!G18=0,0,'Labor Projection'!R18/'Labor Projection'!G18),"")</f>
        <v>0</v>
      </c>
      <c r="X18" s="11">
        <f>IFERROR('Labor Projection'!W18-'Labor Projection'!V18,"")</f>
        <v>0</v>
      </c>
      <c r="Y18" s="2" t="s">
        <v>124</v>
      </c>
      <c r="Z18" s="2" t="s">
        <v>123</v>
      </c>
    </row>
    <row r="19" spans="2:26" ht="15" customHeight="1">
      <c r="B19" s="113" t="s">
        <v>128</v>
      </c>
      <c r="C19" s="114" t="s">
        <v>125</v>
      </c>
      <c r="D19" s="8">
        <v>0</v>
      </c>
      <c r="E19" s="9">
        <f>IFERROR('Labor Projection'!F19-'Labor Projection'!D19,"")</f>
        <v>0</v>
      </c>
      <c r="F19" s="9">
        <v>0</v>
      </c>
      <c r="G19" s="9"/>
      <c r="H19" s="115"/>
      <c r="I19" s="9">
        <f>IFERROR(IF('Labor Projection'!H19=0,'Labor Projection'!F19,(('Labor Projection'!G19/'Labor Projection'!H19)-'Labor Projection'!G19)),"")</f>
        <v>0</v>
      </c>
      <c r="J19" s="115"/>
      <c r="K19" s="9">
        <f>IFERROR('Labor Projection'!I19*'Labor Projection'!J19,"")</f>
        <v>0</v>
      </c>
      <c r="L19" s="9">
        <f>IFERROR('Labor Projection'!I19+'Labor Projection'!K19,"")</f>
        <v>0</v>
      </c>
      <c r="M19" s="9">
        <f>IFERROR('Labor Projection'!L19+'Labor Projection'!G19,"")</f>
        <v>0</v>
      </c>
      <c r="N19" s="11">
        <f>IFERROR('Labor Projection'!M19-'Labor Projection'!F19,"")</f>
        <v>0</v>
      </c>
      <c r="O19" s="9">
        <v>0</v>
      </c>
      <c r="P19" s="9">
        <f>IFERROR('Labor Projection'!Q19-'Labor Projection'!O19,"")</f>
        <v>0</v>
      </c>
      <c r="Q19" s="9">
        <v>0</v>
      </c>
      <c r="S19" s="9" t="str">
        <f>IFERROR('Labor Projection'!L19*'Labor Projection'!$K$1,"")</f>
        <v/>
      </c>
      <c r="T19" s="9" t="str">
        <f>IFERROR('Labor Projection'!R19+'Labor Projection'!S19,"")</f>
        <v/>
      </c>
      <c r="U19" s="11" t="str">
        <f>IFERROR('Labor Projection'!T19-'Labor Projection'!Q19,"")</f>
        <v/>
      </c>
      <c r="V19" s="9">
        <f>IFERROR(IF('Labor Projection'!D19=0,0,'Labor Projection'!O19/'Labor Projection'!D19),"")</f>
        <v>0</v>
      </c>
      <c r="W19" s="9">
        <f>IFERROR(IF('Labor Projection'!G19=0,0,'Labor Projection'!R19/'Labor Projection'!G19),"")</f>
        <v>0</v>
      </c>
      <c r="X19" s="11">
        <f>IFERROR('Labor Projection'!W19-'Labor Projection'!V19,"")</f>
        <v>0</v>
      </c>
      <c r="Y19" s="2" t="s">
        <v>125</v>
      </c>
      <c r="Z19" s="2" t="s">
        <v>123</v>
      </c>
    </row>
    <row r="20" spans="2:26" ht="15" customHeight="1">
      <c r="B20" s="113" t="s">
        <v>128</v>
      </c>
      <c r="C20" s="114" t="s">
        <v>126</v>
      </c>
      <c r="D20" s="8">
        <v>0</v>
      </c>
      <c r="E20" s="9">
        <f>IFERROR('Labor Projection'!F20-'Labor Projection'!D20,"")</f>
        <v>0</v>
      </c>
      <c r="F20" s="9">
        <v>0</v>
      </c>
      <c r="G20" s="9"/>
      <c r="H20" s="115"/>
      <c r="I20" s="9">
        <f>IFERROR(IF('Labor Projection'!H20=0,'Labor Projection'!F20,(('Labor Projection'!G20/'Labor Projection'!H20)-'Labor Projection'!G20)),"")</f>
        <v>0</v>
      </c>
      <c r="J20" s="115"/>
      <c r="K20" s="9">
        <f>IFERROR('Labor Projection'!I20*'Labor Projection'!J20,"")</f>
        <v>0</v>
      </c>
      <c r="L20" s="9">
        <f>IFERROR('Labor Projection'!I20+'Labor Projection'!K20,"")</f>
        <v>0</v>
      </c>
      <c r="M20" s="9">
        <f>IFERROR('Labor Projection'!L20+'Labor Projection'!G20,"")</f>
        <v>0</v>
      </c>
      <c r="N20" s="11">
        <f>IFERROR('Labor Projection'!M20-'Labor Projection'!F20,"")</f>
        <v>0</v>
      </c>
      <c r="O20" s="9">
        <v>0</v>
      </c>
      <c r="P20" s="9">
        <f>IFERROR('Labor Projection'!Q20-'Labor Projection'!O20,"")</f>
        <v>0</v>
      </c>
      <c r="Q20" s="9">
        <v>0</v>
      </c>
      <c r="S20" s="9" t="str">
        <f>IFERROR('Labor Projection'!L20*'Labor Projection'!$K$1,"")</f>
        <v/>
      </c>
      <c r="T20" s="9" t="str">
        <f>IFERROR('Labor Projection'!R20+'Labor Projection'!S20,"")</f>
        <v/>
      </c>
      <c r="U20" s="11" t="str">
        <f>IFERROR('Labor Projection'!T20-'Labor Projection'!Q20,"")</f>
        <v/>
      </c>
      <c r="V20" s="9">
        <f>IFERROR(IF('Labor Projection'!D20=0,0,'Labor Projection'!O20/'Labor Projection'!D20),"")</f>
        <v>0</v>
      </c>
      <c r="W20" s="9">
        <f>IFERROR(IF('Labor Projection'!G20=0,0,'Labor Projection'!R20/'Labor Projection'!G20),"")</f>
        <v>0</v>
      </c>
      <c r="X20" s="11">
        <f>IFERROR('Labor Projection'!W20-'Labor Projection'!V20,"")</f>
        <v>0</v>
      </c>
      <c r="Y20" s="2" t="s">
        <v>126</v>
      </c>
      <c r="Z20" s="2" t="s">
        <v>123</v>
      </c>
    </row>
    <row r="21" spans="2:26" ht="15" customHeight="1">
      <c r="B21" s="113" t="s">
        <v>128</v>
      </c>
      <c r="C21" s="114" t="s">
        <v>127</v>
      </c>
      <c r="D21" s="8">
        <v>0</v>
      </c>
      <c r="E21" s="9">
        <f>IFERROR('Labor Projection'!F21-'Labor Projection'!D21,"")</f>
        <v>0</v>
      </c>
      <c r="F21" s="9">
        <v>0</v>
      </c>
      <c r="G21" s="9"/>
      <c r="H21" s="115"/>
      <c r="I21" s="9">
        <f>IFERROR(IF('Labor Projection'!H21=0,'Labor Projection'!F21,(('Labor Projection'!G21/'Labor Projection'!H21)-'Labor Projection'!G21)),"")</f>
        <v>0</v>
      </c>
      <c r="J21" s="115"/>
      <c r="K21" s="9">
        <f>IFERROR('Labor Projection'!I21*'Labor Projection'!J21,"")</f>
        <v>0</v>
      </c>
      <c r="L21" s="9">
        <f>IFERROR('Labor Projection'!I21+'Labor Projection'!K21,"")</f>
        <v>0</v>
      </c>
      <c r="M21" s="9">
        <f>IFERROR('Labor Projection'!L21+'Labor Projection'!G21,"")</f>
        <v>0</v>
      </c>
      <c r="N21" s="11">
        <f>IFERROR('Labor Projection'!M21-'Labor Projection'!F21,"")</f>
        <v>0</v>
      </c>
      <c r="O21" s="9">
        <v>0</v>
      </c>
      <c r="P21" s="9">
        <f>IFERROR('Labor Projection'!Q21-'Labor Projection'!O21,"")</f>
        <v>0</v>
      </c>
      <c r="Q21" s="9">
        <v>0</v>
      </c>
      <c r="S21" s="9" t="str">
        <f>IFERROR('Labor Projection'!L21*'Labor Projection'!$K$1,"")</f>
        <v/>
      </c>
      <c r="T21" s="9" t="str">
        <f>IFERROR('Labor Projection'!R21+'Labor Projection'!S21,"")</f>
        <v/>
      </c>
      <c r="U21" s="11" t="str">
        <f>IFERROR('Labor Projection'!T21-'Labor Projection'!Q21,"")</f>
        <v/>
      </c>
      <c r="V21" s="9">
        <f>IFERROR(IF('Labor Projection'!D21=0,0,'Labor Projection'!O21/'Labor Projection'!D21),"")</f>
        <v>0</v>
      </c>
      <c r="W21" s="9">
        <f>IFERROR(IF('Labor Projection'!G21=0,0,'Labor Projection'!R21/'Labor Projection'!G21),"")</f>
        <v>0</v>
      </c>
      <c r="X21" s="11">
        <f>IFERROR('Labor Projection'!W21-'Labor Projection'!V21,"")</f>
        <v>0</v>
      </c>
      <c r="Y21" s="2" t="s">
        <v>127</v>
      </c>
      <c r="Z21" s="2" t="s">
        <v>123</v>
      </c>
    </row>
    <row r="22" spans="2:26" ht="15" customHeight="1">
      <c r="B22" s="113" t="s">
        <v>129</v>
      </c>
      <c r="C22" s="114" t="s">
        <v>122</v>
      </c>
      <c r="D22" s="8">
        <v>752</v>
      </c>
      <c r="E22" s="9">
        <f>IFERROR('Labor Projection'!F22-'Labor Projection'!D22,"")</f>
        <v>0</v>
      </c>
      <c r="F22" s="9">
        <v>752</v>
      </c>
      <c r="G22" s="9"/>
      <c r="H22" s="115"/>
      <c r="I22" s="9">
        <f>IFERROR(IF('Labor Projection'!H22=0,'Labor Projection'!F22,(('Labor Projection'!G22/'Labor Projection'!H22)-'Labor Projection'!G22)),"")</f>
        <v>752</v>
      </c>
      <c r="J22" s="115"/>
      <c r="K22" s="9">
        <f>IFERROR('Labor Projection'!I22*'Labor Projection'!J22,"")</f>
        <v>0</v>
      </c>
      <c r="L22" s="9">
        <f>IFERROR('Labor Projection'!I22+'Labor Projection'!K22,"")</f>
        <v>752</v>
      </c>
      <c r="M22" s="9">
        <f>IFERROR('Labor Projection'!L22+'Labor Projection'!G22,"")</f>
        <v>752</v>
      </c>
      <c r="N22" s="11">
        <f>IFERROR('Labor Projection'!M22-'Labor Projection'!F22,"")</f>
        <v>0</v>
      </c>
      <c r="O22" s="9">
        <v>29704</v>
      </c>
      <c r="P22" s="9">
        <f>IFERROR('Labor Projection'!Q22-'Labor Projection'!O22,"")</f>
        <v>0</v>
      </c>
      <c r="Q22" s="9">
        <v>29704</v>
      </c>
      <c r="S22" s="9" t="str">
        <f>IFERROR('Labor Projection'!L22*'Labor Projection'!$K$1,"")</f>
        <v/>
      </c>
      <c r="T22" s="9" t="str">
        <f>IFERROR('Labor Projection'!R22+'Labor Projection'!S22,"")</f>
        <v/>
      </c>
      <c r="U22" s="11" t="str">
        <f>IFERROR('Labor Projection'!T22-'Labor Projection'!Q22,"")</f>
        <v/>
      </c>
      <c r="V22" s="9">
        <f>IFERROR(IF('Labor Projection'!D22=0,0,'Labor Projection'!O22/'Labor Projection'!D22),"")</f>
        <v>39.5</v>
      </c>
      <c r="W22" s="9">
        <f>IFERROR(IF('Labor Projection'!G22=0,0,'Labor Projection'!R22/'Labor Projection'!G22),"")</f>
        <v>0</v>
      </c>
      <c r="X22" s="11">
        <f>IFERROR('Labor Projection'!W22-'Labor Projection'!V22,"")</f>
        <v>-39.5</v>
      </c>
      <c r="Y22" s="2" t="s">
        <v>122</v>
      </c>
      <c r="Z22" s="2" t="s">
        <v>123</v>
      </c>
    </row>
    <row r="23" spans="2:26" ht="15" customHeight="1">
      <c r="B23" s="113" t="s">
        <v>130</v>
      </c>
      <c r="C23" s="114" t="s">
        <v>122</v>
      </c>
      <c r="D23" s="8">
        <v>2600</v>
      </c>
      <c r="E23" s="9">
        <f>IFERROR('Labor Projection'!F23-'Labor Projection'!D23,"")</f>
        <v>0</v>
      </c>
      <c r="F23" s="9">
        <v>2600</v>
      </c>
      <c r="G23" s="9"/>
      <c r="H23" s="115"/>
      <c r="I23" s="9">
        <f>IFERROR(IF('Labor Projection'!H23=0,'Labor Projection'!F23,(('Labor Projection'!G23/'Labor Projection'!H23)-'Labor Projection'!G23)),"")</f>
        <v>2600</v>
      </c>
      <c r="J23" s="115"/>
      <c r="K23" s="9">
        <f>IFERROR('Labor Projection'!I23*'Labor Projection'!J23,"")</f>
        <v>0</v>
      </c>
      <c r="L23" s="9">
        <f>IFERROR('Labor Projection'!I23+'Labor Projection'!K23,"")</f>
        <v>2600</v>
      </c>
      <c r="M23" s="9">
        <f>IFERROR('Labor Projection'!L23+'Labor Projection'!G23,"")</f>
        <v>2600</v>
      </c>
      <c r="N23" s="11">
        <f>IFERROR('Labor Projection'!M23-'Labor Projection'!F23,"")</f>
        <v>0</v>
      </c>
      <c r="O23" s="9">
        <v>102700</v>
      </c>
      <c r="P23" s="9">
        <f>IFERROR('Labor Projection'!Q23-'Labor Projection'!O23,"")</f>
        <v>0</v>
      </c>
      <c r="Q23" s="9">
        <v>102700</v>
      </c>
      <c r="S23" s="9" t="str">
        <f>IFERROR('Labor Projection'!L23*'Labor Projection'!$K$1,"")</f>
        <v/>
      </c>
      <c r="T23" s="9" t="str">
        <f>IFERROR('Labor Projection'!R23+'Labor Projection'!S23,"")</f>
        <v/>
      </c>
      <c r="U23" s="11" t="str">
        <f>IFERROR('Labor Projection'!T23-'Labor Projection'!Q23,"")</f>
        <v/>
      </c>
      <c r="V23" s="9">
        <f>IFERROR(IF('Labor Projection'!D23=0,0,'Labor Projection'!O23/'Labor Projection'!D23),"")</f>
        <v>39.5</v>
      </c>
      <c r="W23" s="9">
        <f>IFERROR(IF('Labor Projection'!G23=0,0,'Labor Projection'!R23/'Labor Projection'!G23),"")</f>
        <v>0</v>
      </c>
      <c r="X23" s="11">
        <f>IFERROR('Labor Projection'!W23-'Labor Projection'!V23,"")</f>
        <v>-39.5</v>
      </c>
      <c r="Y23" s="2" t="s">
        <v>122</v>
      </c>
      <c r="Z23" s="2" t="s">
        <v>123</v>
      </c>
    </row>
    <row r="24" spans="2:26" ht="15" customHeight="1">
      <c r="B24" s="113" t="s">
        <v>131</v>
      </c>
      <c r="C24" s="114" t="s">
        <v>122</v>
      </c>
      <c r="D24" s="8">
        <v>229</v>
      </c>
      <c r="E24" s="9">
        <f>IFERROR('Labor Projection'!F24-'Labor Projection'!D24,"")</f>
        <v>0</v>
      </c>
      <c r="F24" s="9">
        <v>229</v>
      </c>
      <c r="G24" s="9"/>
      <c r="H24" s="115"/>
      <c r="I24" s="9">
        <f>IFERROR(IF('Labor Projection'!H24=0,'Labor Projection'!F24,(('Labor Projection'!G24/'Labor Projection'!H24)-'Labor Projection'!G24)),"")</f>
        <v>229</v>
      </c>
      <c r="J24" s="115"/>
      <c r="K24" s="9">
        <f>IFERROR('Labor Projection'!I24*'Labor Projection'!J24,"")</f>
        <v>0</v>
      </c>
      <c r="L24" s="9">
        <f>IFERROR('Labor Projection'!I24+'Labor Projection'!K24,"")</f>
        <v>229</v>
      </c>
      <c r="M24" s="9">
        <f>IFERROR('Labor Projection'!L24+'Labor Projection'!G24,"")</f>
        <v>229</v>
      </c>
      <c r="N24" s="11">
        <f>IFERROR('Labor Projection'!M24-'Labor Projection'!F24,"")</f>
        <v>0</v>
      </c>
      <c r="O24" s="9">
        <v>9046</v>
      </c>
      <c r="P24" s="9">
        <f>IFERROR('Labor Projection'!Q24-'Labor Projection'!O24,"")</f>
        <v>0</v>
      </c>
      <c r="Q24" s="9">
        <v>9046</v>
      </c>
      <c r="S24" s="9" t="str">
        <f>IFERROR('Labor Projection'!L24*'Labor Projection'!$K$1,"")</f>
        <v/>
      </c>
      <c r="T24" s="9" t="str">
        <f>IFERROR('Labor Projection'!R24+'Labor Projection'!S24,"")</f>
        <v/>
      </c>
      <c r="U24" s="11" t="str">
        <f>IFERROR('Labor Projection'!T24-'Labor Projection'!Q24,"")</f>
        <v/>
      </c>
      <c r="V24" s="9">
        <f>IFERROR(IF('Labor Projection'!D24=0,0,'Labor Projection'!O24/'Labor Projection'!D24),"")</f>
        <v>39.502183406113538</v>
      </c>
      <c r="W24" s="9">
        <f>IFERROR(IF('Labor Projection'!G24=0,0,'Labor Projection'!R24/'Labor Projection'!G24),"")</f>
        <v>0</v>
      </c>
      <c r="X24" s="11">
        <f>IFERROR('Labor Projection'!W24-'Labor Projection'!V24,"")</f>
        <v>-39.502183406113538</v>
      </c>
      <c r="Y24" s="2" t="s">
        <v>122</v>
      </c>
      <c r="Z24" s="2" t="s">
        <v>123</v>
      </c>
    </row>
    <row r="25" spans="2:26" ht="15" customHeight="1">
      <c r="B25" s="113" t="s">
        <v>132</v>
      </c>
      <c r="C25" s="114" t="s">
        <v>122</v>
      </c>
      <c r="D25" s="8">
        <v>1600</v>
      </c>
      <c r="E25" s="9">
        <f>IFERROR('Labor Projection'!F25-'Labor Projection'!D25,"")</f>
        <v>0</v>
      </c>
      <c r="F25" s="9">
        <v>1600</v>
      </c>
      <c r="G25" s="9"/>
      <c r="H25" s="115"/>
      <c r="I25" s="9">
        <f>IFERROR(IF('Labor Projection'!H25=0,'Labor Projection'!F25,(('Labor Projection'!G25/'Labor Projection'!H25)-'Labor Projection'!G25)),"")</f>
        <v>1600</v>
      </c>
      <c r="J25" s="115"/>
      <c r="K25" s="9">
        <f>IFERROR('Labor Projection'!I25*'Labor Projection'!J25,"")</f>
        <v>0</v>
      </c>
      <c r="L25" s="9">
        <f>IFERROR('Labor Projection'!I25+'Labor Projection'!K25,"")</f>
        <v>1600</v>
      </c>
      <c r="M25" s="9">
        <f>IFERROR('Labor Projection'!L25+'Labor Projection'!G25,"")</f>
        <v>1600</v>
      </c>
      <c r="N25" s="11">
        <f>IFERROR('Labor Projection'!M25-'Labor Projection'!F25,"")</f>
        <v>0</v>
      </c>
      <c r="O25" s="9">
        <v>63200</v>
      </c>
      <c r="P25" s="9">
        <f>IFERROR('Labor Projection'!Q25-'Labor Projection'!O25,"")</f>
        <v>0</v>
      </c>
      <c r="Q25" s="9">
        <v>63200</v>
      </c>
      <c r="S25" s="9" t="str">
        <f>IFERROR('Labor Projection'!L25*'Labor Projection'!$K$1,"")</f>
        <v/>
      </c>
      <c r="T25" s="9" t="str">
        <f>IFERROR('Labor Projection'!R25+'Labor Projection'!S25,"")</f>
        <v/>
      </c>
      <c r="U25" s="11" t="str">
        <f>IFERROR('Labor Projection'!T25-'Labor Projection'!Q25,"")</f>
        <v/>
      </c>
      <c r="V25" s="9">
        <f>IFERROR(IF('Labor Projection'!D25=0,0,'Labor Projection'!O25/'Labor Projection'!D25),"")</f>
        <v>39.5</v>
      </c>
      <c r="W25" s="9">
        <f>IFERROR(IF('Labor Projection'!G25=0,0,'Labor Projection'!R25/'Labor Projection'!G25),"")</f>
        <v>0</v>
      </c>
      <c r="X25" s="11">
        <f>IFERROR('Labor Projection'!W25-'Labor Projection'!V25,"")</f>
        <v>-39.5</v>
      </c>
      <c r="Y25" s="2" t="s">
        <v>122</v>
      </c>
      <c r="Z25" s="2" t="s">
        <v>123</v>
      </c>
    </row>
    <row r="26" spans="2:26" ht="15" customHeight="1">
      <c r="B26" s="113" t="s">
        <v>133</v>
      </c>
      <c r="C26" s="114" t="s">
        <v>122</v>
      </c>
      <c r="D26" s="8">
        <v>331</v>
      </c>
      <c r="E26" s="9">
        <f>IFERROR('Labor Projection'!F26-'Labor Projection'!D26,"")</f>
        <v>0</v>
      </c>
      <c r="F26" s="9">
        <v>331</v>
      </c>
      <c r="G26" s="9"/>
      <c r="H26" s="115"/>
      <c r="I26" s="9">
        <f>IFERROR(IF('Labor Projection'!H26=0,'Labor Projection'!F26,(('Labor Projection'!G26/'Labor Projection'!H26)-'Labor Projection'!G26)),"")</f>
        <v>331</v>
      </c>
      <c r="J26" s="115"/>
      <c r="K26" s="9">
        <f>IFERROR('Labor Projection'!I26*'Labor Projection'!J26,"")</f>
        <v>0</v>
      </c>
      <c r="L26" s="9">
        <f>IFERROR('Labor Projection'!I26+'Labor Projection'!K26,"")</f>
        <v>331</v>
      </c>
      <c r="M26" s="9">
        <f>IFERROR('Labor Projection'!L26+'Labor Projection'!G26,"")</f>
        <v>331</v>
      </c>
      <c r="N26" s="11">
        <f>IFERROR('Labor Projection'!M26-'Labor Projection'!F26,"")</f>
        <v>0</v>
      </c>
      <c r="O26" s="9">
        <v>13075</v>
      </c>
      <c r="P26" s="9">
        <f>IFERROR('Labor Projection'!Q26-'Labor Projection'!O26,"")</f>
        <v>0</v>
      </c>
      <c r="Q26" s="9">
        <v>13075</v>
      </c>
      <c r="S26" s="9" t="str">
        <f>IFERROR('Labor Projection'!L26*'Labor Projection'!$K$1,"")</f>
        <v/>
      </c>
      <c r="T26" s="9" t="str">
        <f>IFERROR('Labor Projection'!R26+'Labor Projection'!S26,"")</f>
        <v/>
      </c>
      <c r="U26" s="11" t="str">
        <f>IFERROR('Labor Projection'!T26-'Labor Projection'!Q26,"")</f>
        <v/>
      </c>
      <c r="V26" s="9">
        <f>IFERROR(IF('Labor Projection'!D26=0,0,'Labor Projection'!O26/'Labor Projection'!D26),"")</f>
        <v>39.501510574018127</v>
      </c>
      <c r="W26" s="9">
        <f>IFERROR(IF('Labor Projection'!G26=0,0,'Labor Projection'!R26/'Labor Projection'!G26),"")</f>
        <v>0</v>
      </c>
      <c r="X26" s="11">
        <f>IFERROR('Labor Projection'!W26-'Labor Projection'!V26,"")</f>
        <v>-39.501510574018127</v>
      </c>
      <c r="Y26" s="2" t="s">
        <v>122</v>
      </c>
      <c r="Z26" s="2" t="s">
        <v>123</v>
      </c>
    </row>
    <row r="27" spans="2:26" ht="15" customHeight="1">
      <c r="B27" s="113" t="s">
        <v>134</v>
      </c>
      <c r="C27" s="114" t="s">
        <v>122</v>
      </c>
      <c r="D27" s="8">
        <v>360</v>
      </c>
      <c r="E27" s="9">
        <f>IFERROR('Labor Projection'!F27-'Labor Projection'!D27,"")</f>
        <v>0</v>
      </c>
      <c r="F27" s="9">
        <v>360</v>
      </c>
      <c r="G27" s="9">
        <v>131</v>
      </c>
      <c r="H27" s="115">
        <v>0.36</v>
      </c>
      <c r="I27" s="9">
        <f>IFERROR(IF('Labor Projection'!H27=0,'Labor Projection'!F27,(('Labor Projection'!G27/'Labor Projection'!H27)-'Labor Projection'!G27)),"")</f>
        <v>232.88888888888891</v>
      </c>
      <c r="J27" s="115"/>
      <c r="K27" s="9">
        <f>IFERROR('Labor Projection'!I27*'Labor Projection'!J27,"")</f>
        <v>0</v>
      </c>
      <c r="L27" s="9">
        <f>IFERROR('Labor Projection'!I27+'Labor Projection'!K27,"")</f>
        <v>232.88888888888891</v>
      </c>
      <c r="M27" s="9">
        <f>IFERROR('Labor Projection'!L27+'Labor Projection'!G27,"")</f>
        <v>363.88888888888891</v>
      </c>
      <c r="N27" s="11">
        <f>IFERROR('Labor Projection'!M27-'Labor Projection'!F27,"")</f>
        <v>3.8888888888889142</v>
      </c>
      <c r="O27" s="9">
        <v>14220</v>
      </c>
      <c r="P27" s="9">
        <f>IFERROR('Labor Projection'!Q27-'Labor Projection'!O27,"")</f>
        <v>0</v>
      </c>
      <c r="Q27" s="9">
        <v>14220</v>
      </c>
      <c r="R27" s="9">
        <v>6609.13</v>
      </c>
      <c r="S27" s="9" t="str">
        <f>IFERROR('Labor Projection'!L27*'Labor Projection'!$K$1,"")</f>
        <v/>
      </c>
      <c r="T27" s="9" t="str">
        <f>IFERROR('Labor Projection'!R27+'Labor Projection'!S27,"")</f>
        <v/>
      </c>
      <c r="U27" s="11" t="str">
        <f>IFERROR('Labor Projection'!T27-'Labor Projection'!Q27,"")</f>
        <v/>
      </c>
      <c r="V27" s="9">
        <f>IFERROR(IF('Labor Projection'!D27=0,0,'Labor Projection'!O27/'Labor Projection'!D27),"")</f>
        <v>39.5</v>
      </c>
      <c r="W27" s="9">
        <f>IFERROR(IF('Labor Projection'!G27=0,0,'Labor Projection'!R27/'Labor Projection'!G27),"")</f>
        <v>50.451374045801529</v>
      </c>
      <c r="X27" s="11">
        <f>IFERROR('Labor Projection'!W27-'Labor Projection'!V27,"")</f>
        <v>10.951374045801529</v>
      </c>
      <c r="Y27" s="2" t="s">
        <v>122</v>
      </c>
      <c r="Z27" s="2" t="s">
        <v>123</v>
      </c>
    </row>
    <row r="28" spans="2:26" ht="15" customHeight="1">
      <c r="B28" s="113" t="s">
        <v>135</v>
      </c>
      <c r="C28" s="114" t="s">
        <v>122</v>
      </c>
      <c r="D28" s="8">
        <v>496</v>
      </c>
      <c r="E28" s="9">
        <f>IFERROR('Labor Projection'!F28-'Labor Projection'!D28,"")</f>
        <v>0</v>
      </c>
      <c r="F28" s="9">
        <v>496</v>
      </c>
      <c r="G28" s="9"/>
      <c r="H28" s="115"/>
      <c r="I28" s="9">
        <f>IFERROR(IF('Labor Projection'!H28=0,'Labor Projection'!F28,(('Labor Projection'!G28/'Labor Projection'!H28)-'Labor Projection'!G28)),"")</f>
        <v>496</v>
      </c>
      <c r="J28" s="115"/>
      <c r="K28" s="9">
        <f>IFERROR('Labor Projection'!I28*'Labor Projection'!J28,"")</f>
        <v>0</v>
      </c>
      <c r="L28" s="9">
        <f>IFERROR('Labor Projection'!I28+'Labor Projection'!K28,"")</f>
        <v>496</v>
      </c>
      <c r="M28" s="9">
        <f>IFERROR('Labor Projection'!L28+'Labor Projection'!G28,"")</f>
        <v>496</v>
      </c>
      <c r="N28" s="11">
        <f>IFERROR('Labor Projection'!M28-'Labor Projection'!F28,"")</f>
        <v>0</v>
      </c>
      <c r="O28" s="9">
        <v>19592</v>
      </c>
      <c r="P28" s="9">
        <f>IFERROR('Labor Projection'!Q28-'Labor Projection'!O28,"")</f>
        <v>0</v>
      </c>
      <c r="Q28" s="9">
        <v>19592</v>
      </c>
      <c r="S28" s="9" t="str">
        <f>IFERROR('Labor Projection'!L28*'Labor Projection'!$K$1,"")</f>
        <v/>
      </c>
      <c r="T28" s="9" t="str">
        <f>IFERROR('Labor Projection'!R28+'Labor Projection'!S28,"")</f>
        <v/>
      </c>
      <c r="U28" s="11" t="str">
        <f>IFERROR('Labor Projection'!T28-'Labor Projection'!Q28,"")</f>
        <v/>
      </c>
      <c r="V28" s="9">
        <f>IFERROR(IF('Labor Projection'!D28=0,0,'Labor Projection'!O28/'Labor Projection'!D28),"")</f>
        <v>39.5</v>
      </c>
      <c r="W28" s="9">
        <f>IFERROR(IF('Labor Projection'!G28=0,0,'Labor Projection'!R28/'Labor Projection'!G28),"")</f>
        <v>0</v>
      </c>
      <c r="X28" s="11">
        <f>IFERROR('Labor Projection'!W28-'Labor Projection'!V28,"")</f>
        <v>-39.5</v>
      </c>
      <c r="Y28" s="2" t="s">
        <v>122</v>
      </c>
      <c r="Z28" s="2" t="s">
        <v>123</v>
      </c>
    </row>
    <row r="29" spans="2:26" ht="15" customHeight="1">
      <c r="B29" s="113" t="s">
        <v>136</v>
      </c>
      <c r="C29" s="114" t="s">
        <v>122</v>
      </c>
      <c r="D29" s="8">
        <v>180</v>
      </c>
      <c r="E29" s="9">
        <f>IFERROR('Labor Projection'!F29-'Labor Projection'!D29,"")</f>
        <v>0</v>
      </c>
      <c r="F29" s="9">
        <v>180</v>
      </c>
      <c r="G29" s="9">
        <v>80</v>
      </c>
      <c r="H29" s="115">
        <v>0.443</v>
      </c>
      <c r="I29" s="9">
        <f>IFERROR(IF('Labor Projection'!H29=0,'Labor Projection'!F29,(('Labor Projection'!G29/'Labor Projection'!H29)-'Labor Projection'!G29)),"")</f>
        <v>100.58690744920992</v>
      </c>
      <c r="J29" s="115"/>
      <c r="K29" s="9">
        <f>IFERROR('Labor Projection'!I29*'Labor Projection'!J29,"")</f>
        <v>0</v>
      </c>
      <c r="L29" s="9">
        <f>IFERROR('Labor Projection'!I29+'Labor Projection'!K29,"")</f>
        <v>100.58690744920992</v>
      </c>
      <c r="M29" s="9">
        <f>IFERROR('Labor Projection'!L29+'Labor Projection'!G29,"")</f>
        <v>180.58690744920992</v>
      </c>
      <c r="N29" s="11">
        <f>IFERROR('Labor Projection'!M29-'Labor Projection'!F29,"")</f>
        <v>0.58690744920991733</v>
      </c>
      <c r="O29" s="9">
        <v>7110</v>
      </c>
      <c r="P29" s="9">
        <f>IFERROR('Labor Projection'!Q29-'Labor Projection'!O29,"")</f>
        <v>0</v>
      </c>
      <c r="Q29" s="9">
        <v>7110</v>
      </c>
      <c r="R29" s="9">
        <v>4149.2299999999996</v>
      </c>
      <c r="S29" s="9" t="str">
        <f>IFERROR('Labor Projection'!L29*'Labor Projection'!$K$1,"")</f>
        <v/>
      </c>
      <c r="T29" s="9" t="str">
        <f>IFERROR('Labor Projection'!R29+'Labor Projection'!S29,"")</f>
        <v/>
      </c>
      <c r="U29" s="11" t="str">
        <f>IFERROR('Labor Projection'!T29-'Labor Projection'!Q29,"")</f>
        <v/>
      </c>
      <c r="V29" s="9">
        <f>IFERROR(IF('Labor Projection'!D29=0,0,'Labor Projection'!O29/'Labor Projection'!D29),"")</f>
        <v>39.5</v>
      </c>
      <c r="W29" s="9">
        <f>IFERROR(IF('Labor Projection'!G29=0,0,'Labor Projection'!R29/'Labor Projection'!G29),"")</f>
        <v>51.865374999999993</v>
      </c>
      <c r="X29" s="11">
        <f>IFERROR('Labor Projection'!W29-'Labor Projection'!V29,"")</f>
        <v>12.365374999999993</v>
      </c>
      <c r="Y29" s="2" t="s">
        <v>122</v>
      </c>
      <c r="Z29" s="2" t="s">
        <v>123</v>
      </c>
    </row>
    <row r="30" spans="2:26" ht="15" customHeight="1">
      <c r="B30" s="113" t="s">
        <v>137</v>
      </c>
      <c r="C30" s="114" t="s">
        <v>122</v>
      </c>
      <c r="D30" s="8">
        <v>269</v>
      </c>
      <c r="E30" s="9">
        <f>IFERROR('Labor Projection'!F30-'Labor Projection'!D30,"")</f>
        <v>0</v>
      </c>
      <c r="F30" s="9">
        <v>269</v>
      </c>
      <c r="G30" s="9"/>
      <c r="H30" s="115"/>
      <c r="I30" s="9">
        <f>IFERROR(IF('Labor Projection'!H30=0,'Labor Projection'!F30,(('Labor Projection'!G30/'Labor Projection'!H30)-'Labor Projection'!G30)),"")</f>
        <v>269</v>
      </c>
      <c r="J30" s="115"/>
      <c r="K30" s="9">
        <f>IFERROR('Labor Projection'!I30*'Labor Projection'!J30,"")</f>
        <v>0</v>
      </c>
      <c r="L30" s="9">
        <f>IFERROR('Labor Projection'!I30+'Labor Projection'!K30,"")</f>
        <v>269</v>
      </c>
      <c r="M30" s="9">
        <f>IFERROR('Labor Projection'!L30+'Labor Projection'!G30,"")</f>
        <v>269</v>
      </c>
      <c r="N30" s="11">
        <f>IFERROR('Labor Projection'!M30-'Labor Projection'!F30,"")</f>
        <v>0</v>
      </c>
      <c r="O30" s="9">
        <v>10626</v>
      </c>
      <c r="P30" s="9">
        <f>IFERROR('Labor Projection'!Q30-'Labor Projection'!O30,"")</f>
        <v>0</v>
      </c>
      <c r="Q30" s="9">
        <v>10626</v>
      </c>
      <c r="S30" s="9" t="str">
        <f>IFERROR('Labor Projection'!L30*'Labor Projection'!$K$1,"")</f>
        <v/>
      </c>
      <c r="T30" s="9" t="str">
        <f>IFERROR('Labor Projection'!R30+'Labor Projection'!S30,"")</f>
        <v/>
      </c>
      <c r="U30" s="11" t="str">
        <f>IFERROR('Labor Projection'!T30-'Labor Projection'!Q30,"")</f>
        <v/>
      </c>
      <c r="V30" s="9">
        <f>IFERROR(IF('Labor Projection'!D30=0,0,'Labor Projection'!O30/'Labor Projection'!D30),"")</f>
        <v>39.501858736059482</v>
      </c>
      <c r="W30" s="9">
        <f>IFERROR(IF('Labor Projection'!G30=0,0,'Labor Projection'!R30/'Labor Projection'!G30),"")</f>
        <v>0</v>
      </c>
      <c r="X30" s="11">
        <f>IFERROR('Labor Projection'!W30-'Labor Projection'!V30,"")</f>
        <v>-39.501858736059482</v>
      </c>
      <c r="Y30" s="2" t="s">
        <v>122</v>
      </c>
      <c r="Z30" s="2" t="s">
        <v>123</v>
      </c>
    </row>
    <row r="31" spans="2:26" ht="15" customHeight="1">
      <c r="B31" s="113" t="s">
        <v>138</v>
      </c>
      <c r="C31" s="114" t="s">
        <v>122</v>
      </c>
      <c r="D31" s="8">
        <v>358</v>
      </c>
      <c r="E31" s="9">
        <f>IFERROR('Labor Projection'!F31-'Labor Projection'!D31,"")</f>
        <v>0</v>
      </c>
      <c r="F31" s="9">
        <v>358</v>
      </c>
      <c r="G31" s="9"/>
      <c r="H31" s="115"/>
      <c r="I31" s="9">
        <f>IFERROR(IF('Labor Projection'!H31=0,'Labor Projection'!F31,(('Labor Projection'!G31/'Labor Projection'!H31)-'Labor Projection'!G31)),"")</f>
        <v>358</v>
      </c>
      <c r="J31" s="115"/>
      <c r="K31" s="9">
        <f>IFERROR('Labor Projection'!I31*'Labor Projection'!J31,"")</f>
        <v>0</v>
      </c>
      <c r="L31" s="9">
        <f>IFERROR('Labor Projection'!I31+'Labor Projection'!K31,"")</f>
        <v>358</v>
      </c>
      <c r="M31" s="9">
        <f>IFERROR('Labor Projection'!L31+'Labor Projection'!G31,"")</f>
        <v>358</v>
      </c>
      <c r="N31" s="11">
        <f>IFERROR('Labor Projection'!M31-'Labor Projection'!F31,"")</f>
        <v>0</v>
      </c>
      <c r="O31" s="9">
        <v>14141</v>
      </c>
      <c r="P31" s="9">
        <f>IFERROR('Labor Projection'!Q31-'Labor Projection'!O31,"")</f>
        <v>0</v>
      </c>
      <c r="Q31" s="9">
        <v>14141</v>
      </c>
      <c r="S31" s="9" t="str">
        <f>IFERROR('Labor Projection'!L31*'Labor Projection'!$K$1,"")</f>
        <v/>
      </c>
      <c r="T31" s="9" t="str">
        <f>IFERROR('Labor Projection'!R31+'Labor Projection'!S31,"")</f>
        <v/>
      </c>
      <c r="U31" s="11" t="str">
        <f>IFERROR('Labor Projection'!T31-'Labor Projection'!Q31,"")</f>
        <v/>
      </c>
      <c r="V31" s="9">
        <f>IFERROR(IF('Labor Projection'!D31=0,0,'Labor Projection'!O31/'Labor Projection'!D31),"")</f>
        <v>39.5</v>
      </c>
      <c r="W31" s="9">
        <f>IFERROR(IF('Labor Projection'!G31=0,0,'Labor Projection'!R31/'Labor Projection'!G31),"")</f>
        <v>0</v>
      </c>
      <c r="X31" s="11">
        <f>IFERROR('Labor Projection'!W31-'Labor Projection'!V31,"")</f>
        <v>-39.5</v>
      </c>
      <c r="Y31" s="2" t="s">
        <v>122</v>
      </c>
      <c r="Z31" s="2" t="s">
        <v>123</v>
      </c>
    </row>
    <row r="32" spans="2:26" ht="15" customHeight="1">
      <c r="B32" s="113" t="s">
        <v>139</v>
      </c>
      <c r="C32" s="114" t="s">
        <v>122</v>
      </c>
      <c r="D32" s="8">
        <v>1484</v>
      </c>
      <c r="E32" s="9">
        <f>IFERROR('Labor Projection'!F32-'Labor Projection'!D32,"")</f>
        <v>0</v>
      </c>
      <c r="F32" s="9">
        <v>1484</v>
      </c>
      <c r="G32" s="9">
        <v>63</v>
      </c>
      <c r="H32" s="115">
        <v>4.2000000000000003E-2</v>
      </c>
      <c r="I32" s="9">
        <f>IFERROR(IF('Labor Projection'!H32=0,'Labor Projection'!F32,(('Labor Projection'!G32/'Labor Projection'!H32)-'Labor Projection'!G32)),"")</f>
        <v>1437</v>
      </c>
      <c r="J32" s="115"/>
      <c r="K32" s="9">
        <f>IFERROR('Labor Projection'!I32*'Labor Projection'!J32,"")</f>
        <v>0</v>
      </c>
      <c r="L32" s="9">
        <f>IFERROR('Labor Projection'!I32+'Labor Projection'!K32,"")</f>
        <v>1437</v>
      </c>
      <c r="M32" s="9">
        <f>IFERROR('Labor Projection'!L32+'Labor Projection'!G32,"")</f>
        <v>1500</v>
      </c>
      <c r="N32" s="11">
        <f>IFERROR('Labor Projection'!M32-'Labor Projection'!F32,"")</f>
        <v>16</v>
      </c>
      <c r="O32" s="9">
        <v>58618</v>
      </c>
      <c r="P32" s="9">
        <f>IFERROR('Labor Projection'!Q32-'Labor Projection'!O32,"")</f>
        <v>0</v>
      </c>
      <c r="Q32" s="9">
        <v>58618</v>
      </c>
      <c r="R32" s="9">
        <v>3329.21</v>
      </c>
      <c r="S32" s="9" t="str">
        <f>IFERROR('Labor Projection'!L32*'Labor Projection'!$K$1,"")</f>
        <v/>
      </c>
      <c r="T32" s="9" t="str">
        <f>IFERROR('Labor Projection'!R32+'Labor Projection'!S32,"")</f>
        <v/>
      </c>
      <c r="U32" s="11" t="str">
        <f>IFERROR('Labor Projection'!T32-'Labor Projection'!Q32,"")</f>
        <v/>
      </c>
      <c r="V32" s="9">
        <f>IFERROR(IF('Labor Projection'!D32=0,0,'Labor Projection'!O32/'Labor Projection'!D32),"")</f>
        <v>39.5</v>
      </c>
      <c r="W32" s="9">
        <f>IFERROR(IF('Labor Projection'!G32=0,0,'Labor Projection'!R32/'Labor Projection'!G32),"")</f>
        <v>52.844603174603172</v>
      </c>
      <c r="X32" s="11">
        <f>IFERROR('Labor Projection'!W32-'Labor Projection'!V32,"")</f>
        <v>13.344603174603172</v>
      </c>
      <c r="Y32" s="2" t="s">
        <v>122</v>
      </c>
      <c r="Z32" s="2" t="s">
        <v>123</v>
      </c>
    </row>
    <row r="33" spans="2:26" ht="15" customHeight="1">
      <c r="B33" s="113" t="s">
        <v>140</v>
      </c>
      <c r="C33" s="114" t="s">
        <v>122</v>
      </c>
      <c r="D33" s="8">
        <v>180</v>
      </c>
      <c r="E33" s="9">
        <f>IFERROR('Labor Projection'!F33-'Labor Projection'!D33,"")</f>
        <v>0</v>
      </c>
      <c r="F33" s="9">
        <v>180</v>
      </c>
      <c r="G33" s="9"/>
      <c r="H33" s="115"/>
      <c r="I33" s="9">
        <f>IFERROR(IF('Labor Projection'!H33=0,'Labor Projection'!F33,(('Labor Projection'!G33/'Labor Projection'!H33)-'Labor Projection'!G33)),"")</f>
        <v>180</v>
      </c>
      <c r="J33" s="115"/>
      <c r="K33" s="9">
        <f>IFERROR('Labor Projection'!I33*'Labor Projection'!J33,"")</f>
        <v>0</v>
      </c>
      <c r="L33" s="9">
        <f>IFERROR('Labor Projection'!I33+'Labor Projection'!K33,"")</f>
        <v>180</v>
      </c>
      <c r="M33" s="9">
        <f>IFERROR('Labor Projection'!L33+'Labor Projection'!G33,"")</f>
        <v>180</v>
      </c>
      <c r="N33" s="11">
        <f>IFERROR('Labor Projection'!M33-'Labor Projection'!F33,"")</f>
        <v>0</v>
      </c>
      <c r="O33" s="9">
        <v>7110</v>
      </c>
      <c r="P33" s="9">
        <f>IFERROR('Labor Projection'!Q33-'Labor Projection'!O33,"")</f>
        <v>0</v>
      </c>
      <c r="Q33" s="9">
        <v>7110</v>
      </c>
      <c r="S33" s="9" t="str">
        <f>IFERROR('Labor Projection'!L33*'Labor Projection'!$K$1,"")</f>
        <v/>
      </c>
      <c r="T33" s="9" t="str">
        <f>IFERROR('Labor Projection'!R33+'Labor Projection'!S33,"")</f>
        <v/>
      </c>
      <c r="U33" s="11" t="str">
        <f>IFERROR('Labor Projection'!T33-'Labor Projection'!Q33,"")</f>
        <v/>
      </c>
      <c r="V33" s="9">
        <f>IFERROR(IF('Labor Projection'!D33=0,0,'Labor Projection'!O33/'Labor Projection'!D33),"")</f>
        <v>39.5</v>
      </c>
      <c r="W33" s="9">
        <f>IFERROR(IF('Labor Projection'!G33=0,0,'Labor Projection'!R33/'Labor Projection'!G33),"")</f>
        <v>0</v>
      </c>
      <c r="X33" s="11">
        <f>IFERROR('Labor Projection'!W33-'Labor Projection'!V33,"")</f>
        <v>-39.5</v>
      </c>
      <c r="Y33" s="2" t="s">
        <v>122</v>
      </c>
      <c r="Z33" s="2" t="s">
        <v>123</v>
      </c>
    </row>
    <row r="34" spans="2:26" ht="15" customHeight="1">
      <c r="B34" s="113" t="s">
        <v>141</v>
      </c>
      <c r="C34" s="114" t="s">
        <v>122</v>
      </c>
      <c r="D34" s="8">
        <v>400</v>
      </c>
      <c r="E34" s="9">
        <f>IFERROR('Labor Projection'!F34-'Labor Projection'!D34,"")</f>
        <v>0</v>
      </c>
      <c r="F34" s="9">
        <v>400</v>
      </c>
      <c r="G34" s="9"/>
      <c r="H34" s="115"/>
      <c r="I34" s="9">
        <f>IFERROR(IF('Labor Projection'!H34=0,'Labor Projection'!F34,(('Labor Projection'!G34/'Labor Projection'!H34)-'Labor Projection'!G34)),"")</f>
        <v>400</v>
      </c>
      <c r="J34" s="115"/>
      <c r="K34" s="9">
        <f>IFERROR('Labor Projection'!I34*'Labor Projection'!J34,"")</f>
        <v>0</v>
      </c>
      <c r="L34" s="9">
        <f>IFERROR('Labor Projection'!I34+'Labor Projection'!K34,"")</f>
        <v>400</v>
      </c>
      <c r="M34" s="9">
        <f>IFERROR('Labor Projection'!L34+'Labor Projection'!G34,"")</f>
        <v>400</v>
      </c>
      <c r="N34" s="11">
        <f>IFERROR('Labor Projection'!M34-'Labor Projection'!F34,"")</f>
        <v>0</v>
      </c>
      <c r="O34" s="9">
        <v>15800</v>
      </c>
      <c r="P34" s="9">
        <f>IFERROR('Labor Projection'!Q34-'Labor Projection'!O34,"")</f>
        <v>0</v>
      </c>
      <c r="Q34" s="9">
        <v>15800</v>
      </c>
      <c r="S34" s="9" t="str">
        <f>IFERROR('Labor Projection'!L34*'Labor Projection'!$K$1,"")</f>
        <v/>
      </c>
      <c r="T34" s="9" t="str">
        <f>IFERROR('Labor Projection'!R34+'Labor Projection'!S34,"")</f>
        <v/>
      </c>
      <c r="U34" s="11" t="str">
        <f>IFERROR('Labor Projection'!T34-'Labor Projection'!Q34,"")</f>
        <v/>
      </c>
      <c r="V34" s="9">
        <f>IFERROR(IF('Labor Projection'!D34=0,0,'Labor Projection'!O34/'Labor Projection'!D34),"")</f>
        <v>39.5</v>
      </c>
      <c r="W34" s="9">
        <f>IFERROR(IF('Labor Projection'!G34=0,0,'Labor Projection'!R34/'Labor Projection'!G34),"")</f>
        <v>0</v>
      </c>
      <c r="X34" s="11">
        <f>IFERROR('Labor Projection'!W34-'Labor Projection'!V34,"")</f>
        <v>-39.5</v>
      </c>
      <c r="Y34" s="2" t="s">
        <v>122</v>
      </c>
      <c r="Z34" s="2" t="s">
        <v>123</v>
      </c>
    </row>
    <row r="35" spans="2:26" ht="15" customHeight="1">
      <c r="B35" s="113" t="s">
        <v>142</v>
      </c>
      <c r="C35" s="114" t="s">
        <v>122</v>
      </c>
      <c r="D35" s="8">
        <v>360</v>
      </c>
      <c r="E35" s="9">
        <f>IFERROR('Labor Projection'!F35-'Labor Projection'!D35,"")</f>
        <v>0</v>
      </c>
      <c r="F35" s="9">
        <v>360</v>
      </c>
      <c r="G35" s="9"/>
      <c r="H35" s="115"/>
      <c r="I35" s="9">
        <f>IFERROR(IF('Labor Projection'!H35=0,'Labor Projection'!F35,(('Labor Projection'!G35/'Labor Projection'!H35)-'Labor Projection'!G35)),"")</f>
        <v>360</v>
      </c>
      <c r="J35" s="115"/>
      <c r="K35" s="9">
        <f>IFERROR('Labor Projection'!I35*'Labor Projection'!J35,"")</f>
        <v>0</v>
      </c>
      <c r="L35" s="9">
        <f>IFERROR('Labor Projection'!I35+'Labor Projection'!K35,"")</f>
        <v>360</v>
      </c>
      <c r="M35" s="9">
        <f>IFERROR('Labor Projection'!L35+'Labor Projection'!G35,"")</f>
        <v>360</v>
      </c>
      <c r="N35" s="11">
        <f>IFERROR('Labor Projection'!M35-'Labor Projection'!F35,"")</f>
        <v>0</v>
      </c>
      <c r="O35" s="9">
        <v>14220</v>
      </c>
      <c r="P35" s="9">
        <f>IFERROR('Labor Projection'!Q35-'Labor Projection'!O35,"")</f>
        <v>0</v>
      </c>
      <c r="Q35" s="9">
        <v>14220</v>
      </c>
      <c r="S35" s="9" t="str">
        <f>IFERROR('Labor Projection'!L35*'Labor Projection'!$K$1,"")</f>
        <v/>
      </c>
      <c r="T35" s="9" t="str">
        <f>IFERROR('Labor Projection'!R35+'Labor Projection'!S35,"")</f>
        <v/>
      </c>
      <c r="U35" s="11" t="str">
        <f>IFERROR('Labor Projection'!T35-'Labor Projection'!Q35,"")</f>
        <v/>
      </c>
      <c r="V35" s="9">
        <f>IFERROR(IF('Labor Projection'!D35=0,0,'Labor Projection'!O35/'Labor Projection'!D35),"")</f>
        <v>39.5</v>
      </c>
      <c r="W35" s="9">
        <f>IFERROR(IF('Labor Projection'!G35=0,0,'Labor Projection'!R35/'Labor Projection'!G35),"")</f>
        <v>0</v>
      </c>
      <c r="X35" s="11">
        <f>IFERROR('Labor Projection'!W35-'Labor Projection'!V35,"")</f>
        <v>-39.5</v>
      </c>
      <c r="Y35" s="2" t="s">
        <v>122</v>
      </c>
      <c r="Z35" s="2" t="s">
        <v>123</v>
      </c>
    </row>
    <row r="36" spans="2:26" ht="15" customHeight="1">
      <c r="B36" s="113" t="s">
        <v>143</v>
      </c>
      <c r="C36" s="114" t="s">
        <v>122</v>
      </c>
      <c r="D36" s="8">
        <v>88</v>
      </c>
      <c r="E36" s="9">
        <f>IFERROR('Labor Projection'!F36-'Labor Projection'!D36,"")</f>
        <v>0</v>
      </c>
      <c r="F36" s="9">
        <v>88</v>
      </c>
      <c r="G36" s="9"/>
      <c r="H36" s="115"/>
      <c r="I36" s="9">
        <f>IFERROR(IF('Labor Projection'!H36=0,'Labor Projection'!F36,(('Labor Projection'!G36/'Labor Projection'!H36)-'Labor Projection'!G36)),"")</f>
        <v>88</v>
      </c>
      <c r="J36" s="115"/>
      <c r="K36" s="9">
        <f>IFERROR('Labor Projection'!I36*'Labor Projection'!J36,"")</f>
        <v>0</v>
      </c>
      <c r="L36" s="9">
        <f>IFERROR('Labor Projection'!I36+'Labor Projection'!K36,"")</f>
        <v>88</v>
      </c>
      <c r="M36" s="9">
        <f>IFERROR('Labor Projection'!L36+'Labor Projection'!G36,"")</f>
        <v>88</v>
      </c>
      <c r="N36" s="11">
        <f>IFERROR('Labor Projection'!M36-'Labor Projection'!F36,"")</f>
        <v>0</v>
      </c>
      <c r="O36" s="9">
        <v>3476</v>
      </c>
      <c r="P36" s="9">
        <f>IFERROR('Labor Projection'!Q36-'Labor Projection'!O36,"")</f>
        <v>0</v>
      </c>
      <c r="Q36" s="9">
        <v>3476</v>
      </c>
      <c r="S36" s="9" t="str">
        <f>IFERROR('Labor Projection'!L36*'Labor Projection'!$K$1,"")</f>
        <v/>
      </c>
      <c r="T36" s="9" t="str">
        <f>IFERROR('Labor Projection'!R36+'Labor Projection'!S36,"")</f>
        <v/>
      </c>
      <c r="U36" s="11" t="str">
        <f>IFERROR('Labor Projection'!T36-'Labor Projection'!Q36,"")</f>
        <v/>
      </c>
      <c r="V36" s="9">
        <f>IFERROR(IF('Labor Projection'!D36=0,0,'Labor Projection'!O36/'Labor Projection'!D36),"")</f>
        <v>39.5</v>
      </c>
      <c r="W36" s="9">
        <f>IFERROR(IF('Labor Projection'!G36=0,0,'Labor Projection'!R36/'Labor Projection'!G36),"")</f>
        <v>0</v>
      </c>
      <c r="X36" s="11">
        <f>IFERROR('Labor Projection'!W36-'Labor Projection'!V36,"")</f>
        <v>-39.5</v>
      </c>
      <c r="Y36" s="2" t="s">
        <v>122</v>
      </c>
      <c r="Z36" s="2" t="s">
        <v>123</v>
      </c>
    </row>
    <row r="37" spans="2:26" ht="15" customHeight="1">
      <c r="B37" s="113" t="s">
        <v>144</v>
      </c>
      <c r="C37" s="114" t="s">
        <v>122</v>
      </c>
      <c r="D37" s="8">
        <v>80</v>
      </c>
      <c r="E37" s="9">
        <f>IFERROR('Labor Projection'!F37-'Labor Projection'!D37,"")</f>
        <v>0</v>
      </c>
      <c r="F37" s="9">
        <v>80</v>
      </c>
      <c r="G37" s="9"/>
      <c r="H37" s="115"/>
      <c r="I37" s="9">
        <f>IFERROR(IF('Labor Projection'!H37=0,'Labor Projection'!F37,(('Labor Projection'!G37/'Labor Projection'!H37)-'Labor Projection'!G37)),"")</f>
        <v>80</v>
      </c>
      <c r="J37" s="115"/>
      <c r="K37" s="9">
        <f>IFERROR('Labor Projection'!I37*'Labor Projection'!J37,"")</f>
        <v>0</v>
      </c>
      <c r="L37" s="9">
        <f>IFERROR('Labor Projection'!I37+'Labor Projection'!K37,"")</f>
        <v>80</v>
      </c>
      <c r="M37" s="9">
        <f>IFERROR('Labor Projection'!L37+'Labor Projection'!G37,"")</f>
        <v>80</v>
      </c>
      <c r="N37" s="11">
        <f>IFERROR('Labor Projection'!M37-'Labor Projection'!F37,"")</f>
        <v>0</v>
      </c>
      <c r="O37" s="9">
        <v>3160</v>
      </c>
      <c r="P37" s="9">
        <f>IFERROR('Labor Projection'!Q37-'Labor Projection'!O37,"")</f>
        <v>0</v>
      </c>
      <c r="Q37" s="9">
        <v>3160</v>
      </c>
      <c r="S37" s="9" t="str">
        <f>IFERROR('Labor Projection'!L37*'Labor Projection'!$K$1,"")</f>
        <v/>
      </c>
      <c r="T37" s="9" t="str">
        <f>IFERROR('Labor Projection'!R37+'Labor Projection'!S37,"")</f>
        <v/>
      </c>
      <c r="U37" s="11" t="str">
        <f>IFERROR('Labor Projection'!T37-'Labor Projection'!Q37,"")</f>
        <v/>
      </c>
      <c r="V37" s="9">
        <f>IFERROR(IF('Labor Projection'!D37=0,0,'Labor Projection'!O37/'Labor Projection'!D37),"")</f>
        <v>39.5</v>
      </c>
      <c r="W37" s="9">
        <f>IFERROR(IF('Labor Projection'!G37=0,0,'Labor Projection'!R37/'Labor Projection'!G37),"")</f>
        <v>0</v>
      </c>
      <c r="X37" s="11">
        <f>IFERROR('Labor Projection'!W37-'Labor Projection'!V37,"")</f>
        <v>-39.5</v>
      </c>
      <c r="Y37" s="2" t="s">
        <v>122</v>
      </c>
      <c r="Z37" s="2" t="s">
        <v>123</v>
      </c>
    </row>
    <row r="38" spans="2:26" ht="15" customHeight="1">
      <c r="B38" s="113" t="s">
        <v>145</v>
      </c>
      <c r="C38" s="114" t="s">
        <v>122</v>
      </c>
      <c r="D38" s="8">
        <v>120</v>
      </c>
      <c r="E38" s="9">
        <f>IFERROR('Labor Projection'!F38-'Labor Projection'!D38,"")</f>
        <v>0</v>
      </c>
      <c r="F38" s="9">
        <v>120</v>
      </c>
      <c r="G38" s="9"/>
      <c r="H38" s="115"/>
      <c r="I38" s="9">
        <f>IFERROR(IF('Labor Projection'!H38=0,'Labor Projection'!F38,(('Labor Projection'!G38/'Labor Projection'!H38)-'Labor Projection'!G38)),"")</f>
        <v>120</v>
      </c>
      <c r="J38" s="115"/>
      <c r="K38" s="9">
        <f>IFERROR('Labor Projection'!I38*'Labor Projection'!J38,"")</f>
        <v>0</v>
      </c>
      <c r="L38" s="9">
        <f>IFERROR('Labor Projection'!I38+'Labor Projection'!K38,"")</f>
        <v>120</v>
      </c>
      <c r="M38" s="9">
        <f>IFERROR('Labor Projection'!L38+'Labor Projection'!G38,"")</f>
        <v>120</v>
      </c>
      <c r="N38" s="11">
        <f>IFERROR('Labor Projection'!M38-'Labor Projection'!F38,"")</f>
        <v>0</v>
      </c>
      <c r="O38" s="9">
        <v>4740</v>
      </c>
      <c r="P38" s="9">
        <f>IFERROR('Labor Projection'!Q38-'Labor Projection'!O38,"")</f>
        <v>0</v>
      </c>
      <c r="Q38" s="9">
        <v>4740</v>
      </c>
      <c r="S38" s="9" t="str">
        <f>IFERROR('Labor Projection'!L38*'Labor Projection'!$K$1,"")</f>
        <v/>
      </c>
      <c r="T38" s="9" t="str">
        <f>IFERROR('Labor Projection'!R38+'Labor Projection'!S38,"")</f>
        <v/>
      </c>
      <c r="U38" s="11" t="str">
        <f>IFERROR('Labor Projection'!T38-'Labor Projection'!Q38,"")</f>
        <v/>
      </c>
      <c r="V38" s="9">
        <f>IFERROR(IF('Labor Projection'!D38=0,0,'Labor Projection'!O38/'Labor Projection'!D38),"")</f>
        <v>39.5</v>
      </c>
      <c r="W38" s="9">
        <f>IFERROR(IF('Labor Projection'!G38=0,0,'Labor Projection'!R38/'Labor Projection'!G38),"")</f>
        <v>0</v>
      </c>
      <c r="X38" s="11">
        <f>IFERROR('Labor Projection'!W38-'Labor Projection'!V38,"")</f>
        <v>-39.5</v>
      </c>
      <c r="Y38" s="2" t="s">
        <v>122</v>
      </c>
      <c r="Z38" s="2" t="s">
        <v>123</v>
      </c>
    </row>
    <row r="39" spans="2:26" ht="15" customHeight="1">
      <c r="B39" s="113" t="s">
        <v>146</v>
      </c>
      <c r="C39" s="114" t="s">
        <v>122</v>
      </c>
      <c r="D39" s="8">
        <v>641</v>
      </c>
      <c r="E39" s="9">
        <f>IFERROR('Labor Projection'!F39-'Labor Projection'!D39,"")</f>
        <v>0</v>
      </c>
      <c r="F39" s="9">
        <v>641</v>
      </c>
      <c r="G39" s="9"/>
      <c r="H39" s="115"/>
      <c r="I39" s="9">
        <f>IFERROR(IF('Labor Projection'!H39=0,'Labor Projection'!F39,(('Labor Projection'!G39/'Labor Projection'!H39)-'Labor Projection'!G39)),"")</f>
        <v>641</v>
      </c>
      <c r="J39" s="115"/>
      <c r="K39" s="9">
        <f>IFERROR('Labor Projection'!I39*'Labor Projection'!J39,"")</f>
        <v>0</v>
      </c>
      <c r="L39" s="9">
        <f>IFERROR('Labor Projection'!I39+'Labor Projection'!K39,"")</f>
        <v>641</v>
      </c>
      <c r="M39" s="9">
        <f>IFERROR('Labor Projection'!L39+'Labor Projection'!G39,"")</f>
        <v>641</v>
      </c>
      <c r="N39" s="11">
        <f>IFERROR('Labor Projection'!M39-'Labor Projection'!F39,"")</f>
        <v>0</v>
      </c>
      <c r="O39" s="9">
        <v>25320</v>
      </c>
      <c r="P39" s="9">
        <f>IFERROR('Labor Projection'!Q39-'Labor Projection'!O39,"")</f>
        <v>0</v>
      </c>
      <c r="Q39" s="9">
        <v>25320</v>
      </c>
      <c r="S39" s="9" t="str">
        <f>IFERROR('Labor Projection'!L39*'Labor Projection'!$K$1,"")</f>
        <v/>
      </c>
      <c r="T39" s="9" t="str">
        <f>IFERROR('Labor Projection'!R39+'Labor Projection'!S39,"")</f>
        <v/>
      </c>
      <c r="U39" s="11" t="str">
        <f>IFERROR('Labor Projection'!T39-'Labor Projection'!Q39,"")</f>
        <v/>
      </c>
      <c r="V39" s="9">
        <f>IFERROR(IF('Labor Projection'!D39=0,0,'Labor Projection'!O39/'Labor Projection'!D39),"")</f>
        <v>39.500780031201245</v>
      </c>
      <c r="W39" s="9">
        <f>IFERROR(IF('Labor Projection'!G39=0,0,'Labor Projection'!R39/'Labor Projection'!G39),"")</f>
        <v>0</v>
      </c>
      <c r="X39" s="11">
        <f>IFERROR('Labor Projection'!W39-'Labor Projection'!V39,"")</f>
        <v>-39.500780031201245</v>
      </c>
      <c r="Y39" s="2" t="s">
        <v>122</v>
      </c>
      <c r="Z39" s="2" t="s">
        <v>123</v>
      </c>
    </row>
    <row r="40" spans="2:26" ht="15" customHeight="1">
      <c r="B40" s="113" t="s">
        <v>147</v>
      </c>
      <c r="C40" s="114" t="s">
        <v>122</v>
      </c>
      <c r="D40" s="8">
        <v>2093</v>
      </c>
      <c r="E40" s="9">
        <f>IFERROR('Labor Projection'!F40-'Labor Projection'!D40,"")</f>
        <v>0</v>
      </c>
      <c r="F40" s="9">
        <v>2093</v>
      </c>
      <c r="G40" s="9"/>
      <c r="H40" s="115"/>
      <c r="I40" s="9">
        <f>IFERROR(IF('Labor Projection'!H40=0,'Labor Projection'!F40,(('Labor Projection'!G40/'Labor Projection'!H40)-'Labor Projection'!G40)),"")</f>
        <v>2093</v>
      </c>
      <c r="J40" s="115"/>
      <c r="K40" s="9">
        <f>IFERROR('Labor Projection'!I40*'Labor Projection'!J40,"")</f>
        <v>0</v>
      </c>
      <c r="L40" s="9">
        <f>IFERROR('Labor Projection'!I40+'Labor Projection'!K40,"")</f>
        <v>2093</v>
      </c>
      <c r="M40" s="9">
        <f>IFERROR('Labor Projection'!L40+'Labor Projection'!G40,"")</f>
        <v>2093</v>
      </c>
      <c r="N40" s="11">
        <f>IFERROR('Labor Projection'!M40-'Labor Projection'!F40,"")</f>
        <v>0</v>
      </c>
      <c r="O40" s="9">
        <v>82674</v>
      </c>
      <c r="P40" s="9">
        <f>IFERROR('Labor Projection'!Q40-'Labor Projection'!O40,"")</f>
        <v>0</v>
      </c>
      <c r="Q40" s="9">
        <v>82674</v>
      </c>
      <c r="S40" s="9" t="str">
        <f>IFERROR('Labor Projection'!L40*'Labor Projection'!$K$1,"")</f>
        <v/>
      </c>
      <c r="T40" s="9" t="str">
        <f>IFERROR('Labor Projection'!R40+'Labor Projection'!S40,"")</f>
        <v/>
      </c>
      <c r="U40" s="11" t="str">
        <f>IFERROR('Labor Projection'!T40-'Labor Projection'!Q40,"")</f>
        <v/>
      </c>
      <c r="V40" s="9">
        <f>IFERROR(IF('Labor Projection'!D40=0,0,'Labor Projection'!O40/'Labor Projection'!D40),"")</f>
        <v>39.500238891543241</v>
      </c>
      <c r="W40" s="9">
        <f>IFERROR(IF('Labor Projection'!G40=0,0,'Labor Projection'!R40/'Labor Projection'!G40),"")</f>
        <v>0</v>
      </c>
      <c r="X40" s="11">
        <f>IFERROR('Labor Projection'!W40-'Labor Projection'!V40,"")</f>
        <v>-39.500238891543241</v>
      </c>
      <c r="Y40" s="2" t="s">
        <v>122</v>
      </c>
      <c r="Z40" s="2" t="s">
        <v>123</v>
      </c>
    </row>
    <row r="41" spans="2:26" ht="15" customHeight="1">
      <c r="B41" s="113" t="s">
        <v>148</v>
      </c>
      <c r="C41" s="114" t="s">
        <v>122</v>
      </c>
      <c r="D41" s="8">
        <v>257</v>
      </c>
      <c r="E41" s="9">
        <f>IFERROR('Labor Projection'!F41-'Labor Projection'!D41,"")</f>
        <v>0</v>
      </c>
      <c r="F41" s="9">
        <v>257</v>
      </c>
      <c r="G41" s="9"/>
      <c r="H41" s="115"/>
      <c r="I41" s="9">
        <f>IFERROR(IF('Labor Projection'!H41=0,'Labor Projection'!F41,(('Labor Projection'!G41/'Labor Projection'!H41)-'Labor Projection'!G41)),"")</f>
        <v>257</v>
      </c>
      <c r="J41" s="115"/>
      <c r="K41" s="9">
        <f>IFERROR('Labor Projection'!I41*'Labor Projection'!J41,"")</f>
        <v>0</v>
      </c>
      <c r="L41" s="9">
        <f>IFERROR('Labor Projection'!I41+'Labor Projection'!K41,"")</f>
        <v>257</v>
      </c>
      <c r="M41" s="9">
        <f>IFERROR('Labor Projection'!L41+'Labor Projection'!G41,"")</f>
        <v>257</v>
      </c>
      <c r="N41" s="11">
        <f>IFERROR('Labor Projection'!M41-'Labor Projection'!F41,"")</f>
        <v>0</v>
      </c>
      <c r="O41" s="9">
        <v>10152</v>
      </c>
      <c r="P41" s="9">
        <f>IFERROR('Labor Projection'!Q41-'Labor Projection'!O41,"")</f>
        <v>0</v>
      </c>
      <c r="Q41" s="9">
        <v>10152</v>
      </c>
      <c r="S41" s="9" t="str">
        <f>IFERROR('Labor Projection'!L41*'Labor Projection'!$K$1,"")</f>
        <v/>
      </c>
      <c r="T41" s="9" t="str">
        <f>IFERROR('Labor Projection'!R41+'Labor Projection'!S41,"")</f>
        <v/>
      </c>
      <c r="U41" s="11" t="str">
        <f>IFERROR('Labor Projection'!T41-'Labor Projection'!Q41,"")</f>
        <v/>
      </c>
      <c r="V41" s="9">
        <f>IFERROR(IF('Labor Projection'!D41=0,0,'Labor Projection'!O41/'Labor Projection'!D41),"")</f>
        <v>39.501945525291831</v>
      </c>
      <c r="W41" s="9">
        <f>IFERROR(IF('Labor Projection'!G41=0,0,'Labor Projection'!R41/'Labor Projection'!G41),"")</f>
        <v>0</v>
      </c>
      <c r="X41" s="11">
        <f>IFERROR('Labor Projection'!W41-'Labor Projection'!V41,"")</f>
        <v>-39.501945525291831</v>
      </c>
      <c r="Y41" s="2" t="s">
        <v>122</v>
      </c>
      <c r="Z41" s="2" t="s">
        <v>123</v>
      </c>
    </row>
    <row r="42" spans="2:26" ht="15" customHeight="1">
      <c r="B42" s="113" t="s">
        <v>149</v>
      </c>
      <c r="C42" s="114" t="s">
        <v>122</v>
      </c>
      <c r="D42" s="8">
        <v>0</v>
      </c>
      <c r="E42" s="9">
        <f>IFERROR('Labor Projection'!F42-'Labor Projection'!D42,"")</f>
        <v>0</v>
      </c>
      <c r="F42" s="9">
        <v>0</v>
      </c>
      <c r="G42" s="9"/>
      <c r="H42" s="115"/>
      <c r="I42" s="9">
        <f>IFERROR(IF('Labor Projection'!H42=0,'Labor Projection'!F42,(('Labor Projection'!G42/'Labor Projection'!H42)-'Labor Projection'!G42)),"")</f>
        <v>0</v>
      </c>
      <c r="J42" s="115"/>
      <c r="K42" s="9">
        <f>IFERROR('Labor Projection'!I42*'Labor Projection'!J42,"")</f>
        <v>0</v>
      </c>
      <c r="L42" s="9">
        <f>IFERROR('Labor Projection'!I42+'Labor Projection'!K42,"")</f>
        <v>0</v>
      </c>
      <c r="M42" s="9">
        <f>IFERROR('Labor Projection'!L42+'Labor Projection'!G42,"")</f>
        <v>0</v>
      </c>
      <c r="N42" s="11">
        <f>IFERROR('Labor Projection'!M42-'Labor Projection'!F42,"")</f>
        <v>0</v>
      </c>
      <c r="O42" s="9">
        <v>0</v>
      </c>
      <c r="P42" s="9">
        <f>IFERROR('Labor Projection'!Q42-'Labor Projection'!O42,"")</f>
        <v>0</v>
      </c>
      <c r="Q42" s="9">
        <v>0</v>
      </c>
      <c r="S42" s="9" t="str">
        <f>IFERROR('Labor Projection'!L42*'Labor Projection'!$K$1,"")</f>
        <v/>
      </c>
      <c r="T42" s="9" t="str">
        <f>IFERROR('Labor Projection'!R42+'Labor Projection'!S42,"")</f>
        <v/>
      </c>
      <c r="U42" s="11" t="str">
        <f>IFERROR('Labor Projection'!T42-'Labor Projection'!Q42,"")</f>
        <v/>
      </c>
      <c r="V42" s="9">
        <f>IFERROR(IF('Labor Projection'!D42=0,0,'Labor Projection'!O42/'Labor Projection'!D42),"")</f>
        <v>0</v>
      </c>
      <c r="W42" s="9">
        <f>IFERROR(IF('Labor Projection'!G42=0,0,'Labor Projection'!R42/'Labor Projection'!G42),"")</f>
        <v>0</v>
      </c>
      <c r="X42" s="11">
        <f>IFERROR('Labor Projection'!W42-'Labor Projection'!V42,"")</f>
        <v>0</v>
      </c>
      <c r="Y42" s="2" t="s">
        <v>122</v>
      </c>
      <c r="Z42" s="2" t="s">
        <v>123</v>
      </c>
    </row>
    <row r="43" spans="2:26" ht="15" customHeight="1">
      <c r="B43" s="113" t="s">
        <v>149</v>
      </c>
      <c r="C43" s="114" t="s">
        <v>124</v>
      </c>
      <c r="D43" s="8">
        <v>0</v>
      </c>
      <c r="E43" s="9">
        <f>IFERROR('Labor Projection'!F43-'Labor Projection'!D43,"")</f>
        <v>0</v>
      </c>
      <c r="F43" s="9">
        <v>0</v>
      </c>
      <c r="G43" s="9"/>
      <c r="H43" s="115"/>
      <c r="I43" s="9">
        <f>IFERROR(IF('Labor Projection'!H43=0,'Labor Projection'!F43,(('Labor Projection'!G43/'Labor Projection'!H43)-'Labor Projection'!G43)),"")</f>
        <v>0</v>
      </c>
      <c r="J43" s="115"/>
      <c r="K43" s="9">
        <f>IFERROR('Labor Projection'!I43*'Labor Projection'!J43,"")</f>
        <v>0</v>
      </c>
      <c r="L43" s="9">
        <f>IFERROR('Labor Projection'!I43+'Labor Projection'!K43,"")</f>
        <v>0</v>
      </c>
      <c r="M43" s="9">
        <f>IFERROR('Labor Projection'!L43+'Labor Projection'!G43,"")</f>
        <v>0</v>
      </c>
      <c r="N43" s="11">
        <f>IFERROR('Labor Projection'!M43-'Labor Projection'!F43,"")</f>
        <v>0</v>
      </c>
      <c r="O43" s="9">
        <v>0</v>
      </c>
      <c r="P43" s="9">
        <f>IFERROR('Labor Projection'!Q43-'Labor Projection'!O43,"")</f>
        <v>0</v>
      </c>
      <c r="Q43" s="9">
        <v>0</v>
      </c>
      <c r="S43" s="9" t="str">
        <f>IFERROR('Labor Projection'!L43*'Labor Projection'!$K$1,"")</f>
        <v/>
      </c>
      <c r="T43" s="9" t="str">
        <f>IFERROR('Labor Projection'!R43+'Labor Projection'!S43,"")</f>
        <v/>
      </c>
      <c r="U43" s="11" t="str">
        <f>IFERROR('Labor Projection'!T43-'Labor Projection'!Q43,"")</f>
        <v/>
      </c>
      <c r="V43" s="9">
        <f>IFERROR(IF('Labor Projection'!D43=0,0,'Labor Projection'!O43/'Labor Projection'!D43),"")</f>
        <v>0</v>
      </c>
      <c r="W43" s="9">
        <f>IFERROR(IF('Labor Projection'!G43=0,0,'Labor Projection'!R43/'Labor Projection'!G43),"")</f>
        <v>0</v>
      </c>
      <c r="X43" s="11">
        <f>IFERROR('Labor Projection'!W43-'Labor Projection'!V43,"")</f>
        <v>0</v>
      </c>
      <c r="Y43" s="2" t="s">
        <v>124</v>
      </c>
      <c r="Z43" s="2" t="s">
        <v>123</v>
      </c>
    </row>
    <row r="44" spans="2:26" ht="15" customHeight="1">
      <c r="B44" s="113" t="s">
        <v>149</v>
      </c>
      <c r="C44" s="114" t="s">
        <v>125</v>
      </c>
      <c r="D44" s="8">
        <v>0</v>
      </c>
      <c r="E44" s="9">
        <f>IFERROR('Labor Projection'!F44-'Labor Projection'!D44,"")</f>
        <v>0</v>
      </c>
      <c r="F44" s="9">
        <v>0</v>
      </c>
      <c r="G44" s="9"/>
      <c r="H44" s="115"/>
      <c r="I44" s="9">
        <f>IFERROR(IF('Labor Projection'!H44=0,'Labor Projection'!F44,(('Labor Projection'!G44/'Labor Projection'!H44)-'Labor Projection'!G44)),"")</f>
        <v>0</v>
      </c>
      <c r="J44" s="115"/>
      <c r="K44" s="9">
        <f>IFERROR('Labor Projection'!I44*'Labor Projection'!J44,"")</f>
        <v>0</v>
      </c>
      <c r="L44" s="9">
        <f>IFERROR('Labor Projection'!I44+'Labor Projection'!K44,"")</f>
        <v>0</v>
      </c>
      <c r="M44" s="9">
        <f>IFERROR('Labor Projection'!L44+'Labor Projection'!G44,"")</f>
        <v>0</v>
      </c>
      <c r="N44" s="11">
        <f>IFERROR('Labor Projection'!M44-'Labor Projection'!F44,"")</f>
        <v>0</v>
      </c>
      <c r="O44" s="9">
        <v>0</v>
      </c>
      <c r="P44" s="9">
        <f>IFERROR('Labor Projection'!Q44-'Labor Projection'!O44,"")</f>
        <v>0</v>
      </c>
      <c r="Q44" s="9">
        <v>0</v>
      </c>
      <c r="S44" s="9" t="str">
        <f>IFERROR('Labor Projection'!L44*'Labor Projection'!$K$1,"")</f>
        <v/>
      </c>
      <c r="T44" s="9" t="str">
        <f>IFERROR('Labor Projection'!R44+'Labor Projection'!S44,"")</f>
        <v/>
      </c>
      <c r="U44" s="11" t="str">
        <f>IFERROR('Labor Projection'!T44-'Labor Projection'!Q44,"")</f>
        <v/>
      </c>
      <c r="V44" s="9">
        <f>IFERROR(IF('Labor Projection'!D44=0,0,'Labor Projection'!O44/'Labor Projection'!D44),"")</f>
        <v>0</v>
      </c>
      <c r="W44" s="9">
        <f>IFERROR(IF('Labor Projection'!G44=0,0,'Labor Projection'!R44/'Labor Projection'!G44),"")</f>
        <v>0</v>
      </c>
      <c r="X44" s="11">
        <f>IFERROR('Labor Projection'!W44-'Labor Projection'!V44,"")</f>
        <v>0</v>
      </c>
      <c r="Y44" s="2" t="s">
        <v>125</v>
      </c>
      <c r="Z44" s="2" t="s">
        <v>123</v>
      </c>
    </row>
    <row r="45" spans="2:26" ht="15" customHeight="1">
      <c r="B45" s="113" t="s">
        <v>149</v>
      </c>
      <c r="C45" s="114" t="s">
        <v>126</v>
      </c>
      <c r="D45" s="8">
        <v>0</v>
      </c>
      <c r="E45" s="9">
        <f>IFERROR('Labor Projection'!F45-'Labor Projection'!D45,"")</f>
        <v>0</v>
      </c>
      <c r="F45" s="9">
        <v>0</v>
      </c>
      <c r="G45" s="9"/>
      <c r="H45" s="115"/>
      <c r="I45" s="9">
        <f>IFERROR(IF('Labor Projection'!H45=0,'Labor Projection'!F45,(('Labor Projection'!G45/'Labor Projection'!H45)-'Labor Projection'!G45)),"")</f>
        <v>0</v>
      </c>
      <c r="J45" s="115"/>
      <c r="K45" s="9">
        <f>IFERROR('Labor Projection'!I45*'Labor Projection'!J45,"")</f>
        <v>0</v>
      </c>
      <c r="L45" s="9">
        <f>IFERROR('Labor Projection'!I45+'Labor Projection'!K45,"")</f>
        <v>0</v>
      </c>
      <c r="M45" s="9">
        <f>IFERROR('Labor Projection'!L45+'Labor Projection'!G45,"")</f>
        <v>0</v>
      </c>
      <c r="N45" s="11">
        <f>IFERROR('Labor Projection'!M45-'Labor Projection'!F45,"")</f>
        <v>0</v>
      </c>
      <c r="O45" s="9">
        <v>0</v>
      </c>
      <c r="P45" s="9">
        <f>IFERROR('Labor Projection'!Q45-'Labor Projection'!O45,"")</f>
        <v>0</v>
      </c>
      <c r="Q45" s="9">
        <v>0</v>
      </c>
      <c r="S45" s="9" t="str">
        <f>IFERROR('Labor Projection'!L45*'Labor Projection'!$K$1,"")</f>
        <v/>
      </c>
      <c r="T45" s="9" t="str">
        <f>IFERROR('Labor Projection'!R45+'Labor Projection'!S45,"")</f>
        <v/>
      </c>
      <c r="U45" s="11" t="str">
        <f>IFERROR('Labor Projection'!T45-'Labor Projection'!Q45,"")</f>
        <v/>
      </c>
      <c r="V45" s="9">
        <f>IFERROR(IF('Labor Projection'!D45=0,0,'Labor Projection'!O45/'Labor Projection'!D45),"")</f>
        <v>0</v>
      </c>
      <c r="W45" s="9">
        <f>IFERROR(IF('Labor Projection'!G45=0,0,'Labor Projection'!R45/'Labor Projection'!G45),"")</f>
        <v>0</v>
      </c>
      <c r="X45" s="11">
        <f>IFERROR('Labor Projection'!W45-'Labor Projection'!V45,"")</f>
        <v>0</v>
      </c>
      <c r="Y45" s="2" t="s">
        <v>126</v>
      </c>
      <c r="Z45" s="2" t="s">
        <v>123</v>
      </c>
    </row>
    <row r="46" spans="2:26" ht="15" customHeight="1">
      <c r="B46" s="113" t="s">
        <v>149</v>
      </c>
      <c r="C46" s="114" t="s">
        <v>127</v>
      </c>
      <c r="D46" s="8">
        <v>0</v>
      </c>
      <c r="E46" s="9">
        <f>IFERROR('Labor Projection'!F46-'Labor Projection'!D46,"")</f>
        <v>0</v>
      </c>
      <c r="F46" s="9">
        <v>0</v>
      </c>
      <c r="G46" s="9"/>
      <c r="H46" s="115"/>
      <c r="I46" s="9">
        <f>IFERROR(IF('Labor Projection'!H46=0,'Labor Projection'!F46,(('Labor Projection'!G46/'Labor Projection'!H46)-'Labor Projection'!G46)),"")</f>
        <v>0</v>
      </c>
      <c r="J46" s="115"/>
      <c r="K46" s="9">
        <f>IFERROR('Labor Projection'!I46*'Labor Projection'!J46,"")</f>
        <v>0</v>
      </c>
      <c r="L46" s="9">
        <f>IFERROR('Labor Projection'!I46+'Labor Projection'!K46,"")</f>
        <v>0</v>
      </c>
      <c r="M46" s="9">
        <f>IFERROR('Labor Projection'!L46+'Labor Projection'!G46,"")</f>
        <v>0</v>
      </c>
      <c r="N46" s="11">
        <f>IFERROR('Labor Projection'!M46-'Labor Projection'!F46,"")</f>
        <v>0</v>
      </c>
      <c r="O46" s="9">
        <v>0</v>
      </c>
      <c r="P46" s="9">
        <f>IFERROR('Labor Projection'!Q46-'Labor Projection'!O46,"")</f>
        <v>0</v>
      </c>
      <c r="Q46" s="9">
        <v>0</v>
      </c>
      <c r="S46" s="9" t="str">
        <f>IFERROR('Labor Projection'!L46*'Labor Projection'!$K$1,"")</f>
        <v/>
      </c>
      <c r="T46" s="9" t="str">
        <f>IFERROR('Labor Projection'!R46+'Labor Projection'!S46,"")</f>
        <v/>
      </c>
      <c r="U46" s="11" t="str">
        <f>IFERROR('Labor Projection'!T46-'Labor Projection'!Q46,"")</f>
        <v/>
      </c>
      <c r="V46" s="9">
        <f>IFERROR(IF('Labor Projection'!D46=0,0,'Labor Projection'!O46/'Labor Projection'!D46),"")</f>
        <v>0</v>
      </c>
      <c r="W46" s="9">
        <f>IFERROR(IF('Labor Projection'!G46=0,0,'Labor Projection'!R46/'Labor Projection'!G46),"")</f>
        <v>0</v>
      </c>
      <c r="X46" s="11">
        <f>IFERROR('Labor Projection'!W46-'Labor Projection'!V46,"")</f>
        <v>0</v>
      </c>
      <c r="Y46" s="2" t="s">
        <v>127</v>
      </c>
      <c r="Z46" s="2" t="s">
        <v>123</v>
      </c>
    </row>
    <row r="51" spans="2:24" s="1" customFormat="1" ht="15" customHeight="1">
      <c r="B51" s="116" t="s">
        <v>150</v>
      </c>
      <c r="C51" s="116" t="s">
        <v>151</v>
      </c>
      <c r="D51" s="116" t="s">
        <v>98</v>
      </c>
      <c r="E51" s="116" t="s">
        <v>99</v>
      </c>
      <c r="F51" s="117" t="s">
        <v>100</v>
      </c>
      <c r="G51" s="118" t="s">
        <v>101</v>
      </c>
      <c r="H51" s="117" t="s">
        <v>102</v>
      </c>
      <c r="I51" s="116" t="s">
        <v>103</v>
      </c>
      <c r="J51" s="116" t="s">
        <v>104</v>
      </c>
      <c r="K51" s="116" t="s">
        <v>105</v>
      </c>
      <c r="L51" s="116" t="s">
        <v>106</v>
      </c>
      <c r="M51" s="116" t="s">
        <v>107</v>
      </c>
      <c r="N51" s="116" t="s">
        <v>152</v>
      </c>
      <c r="O51" s="116" t="s">
        <v>153</v>
      </c>
      <c r="P51" s="116" t="s">
        <v>154</v>
      </c>
      <c r="Q51" s="116" t="s">
        <v>111</v>
      </c>
      <c r="R51" s="116" t="s">
        <v>112</v>
      </c>
      <c r="S51" s="116" t="s">
        <v>113</v>
      </c>
      <c r="T51" s="116" t="s">
        <v>114</v>
      </c>
      <c r="U51" s="116" t="s">
        <v>155</v>
      </c>
      <c r="V51" s="116" t="s">
        <v>156</v>
      </c>
      <c r="W51" s="116" t="s">
        <v>157</v>
      </c>
      <c r="X51" s="119" t="s">
        <v>158</v>
      </c>
    </row>
    <row r="52" spans="2:24" ht="15" customHeight="1">
      <c r="B52" s="46" t="s">
        <v>159</v>
      </c>
      <c r="C52" s="113"/>
      <c r="D52" s="2"/>
      <c r="E52" s="40"/>
      <c r="F52" s="120" t="e" cm="1">
        <f t="array" ref="F52">#REF!</f>
        <v>#REF!</v>
      </c>
      <c r="G52" s="121"/>
      <c r="H52" s="122"/>
      <c r="I52" s="40" t="str">
        <f>IFERROR(IF('Labor Projection'!H52=0,'Labor Projection'!F52,('Labor Projection'!G52/'Labor Projection'!H52)-'Labor Projection'!G52),"")</f>
        <v/>
      </c>
      <c r="K52" s="9" t="str">
        <f>IFERROR('Labor Projection'!I52*'Labor Projection'!J52,"")</f>
        <v/>
      </c>
      <c r="L52" s="9" t="str">
        <f>IFERROR('Labor Projection'!I52+'Labor Projection'!K52,"")</f>
        <v/>
      </c>
      <c r="M52" s="9" t="str">
        <f>IFERROR('Labor Projection'!G52+'Labor Projection'!L52,"")</f>
        <v/>
      </c>
      <c r="N52" s="9" t="str">
        <f>IFERROR('Labor Projection'!M52-'Labor Projection'!F52,"")</f>
        <v/>
      </c>
      <c r="Q52" s="9" t="e">
        <f>#REF!</f>
        <v>#REF!</v>
      </c>
      <c r="R52" s="9" t="str">
        <f>IFERROR(IF('Labor Projection'!F52=0,0,('Labor Projection'!Q52/'Labor Projection'!F52)*'Labor Projection'!G52),"")</f>
        <v/>
      </c>
      <c r="S52" s="9" t="str">
        <f>IFERROR(IF('Labor Projection'!F52=0,0,('Labor Projection'!Q52/'Labor Projection'!F52)*'Labor Projection'!L52),"")</f>
        <v/>
      </c>
      <c r="T52" s="9" t="str">
        <f>IFERROR('Labor Projection'!R52+'Labor Projection'!S52,"")</f>
        <v/>
      </c>
      <c r="U52" s="9" t="str">
        <f>IFERROR('Labor Projection'!T52-'Labor Projection'!Q52,"")</f>
        <v/>
      </c>
      <c r="X52" s="9"/>
    </row>
  </sheetData>
  <mergeCells count="2">
    <mergeCell ref="I1:J1"/>
    <mergeCell ref="L1:M1"/>
  </mergeCells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9EA1-BCFC-1C41-C6E8-C3C77C2143F8}">
  <dimension ref="A1:Z116"/>
  <sheetViews>
    <sheetView zoomScale="67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J24" sqref="J24"/>
    </sheetView>
  </sheetViews>
  <sheetFormatPr baseColWidth="10" defaultColWidth="8.83203125" defaultRowHeight="15" customHeight="1" outlineLevelRow="1"/>
  <cols>
    <col min="1" max="1" width="12.1640625" hidden="1" customWidth="1"/>
    <col min="2" max="2" width="15.6640625" customWidth="1"/>
    <col min="3" max="3" width="12.1640625" hidden="1" customWidth="1"/>
    <col min="4" max="4" width="42.83203125" customWidth="1"/>
    <col min="5" max="12" width="17.1640625" style="9" customWidth="1"/>
    <col min="13" max="13" width="17.1640625" style="20" customWidth="1"/>
    <col min="14" max="14" width="17.1640625" style="9" customWidth="1"/>
    <col min="15" max="15" width="17.1640625" style="20" customWidth="1"/>
    <col min="16" max="17" width="12.1640625" hidden="1" customWidth="1"/>
    <col min="18" max="26" width="12.1640625" customWidth="1"/>
  </cols>
  <sheetData>
    <row r="1" spans="2:26" ht="15" customHeight="1">
      <c r="B1" t="s">
        <v>1</v>
      </c>
    </row>
    <row r="2" spans="2:26" ht="15" customHeight="1">
      <c r="B2" s="2" t="s">
        <v>160</v>
      </c>
    </row>
    <row r="3" spans="2:26" ht="15" customHeight="1">
      <c r="D3" t="s">
        <v>161</v>
      </c>
      <c r="E3" s="9">
        <f>SUMIF(C12:C1000,"M",E12:E1000)+SUMIF(C12:C1000,"S",E12:E1000)</f>
        <v>1043578</v>
      </c>
      <c r="F3" s="9">
        <f>SUMIF(C12:C1000,"M",F12:F1000)+SUMIF(C12:C1000,"S",F12:F1000)</f>
        <v>0</v>
      </c>
      <c r="G3" s="9">
        <f>SUMIF(C12:C1000,"M",G12:G1000)+SUMIF(C12:C1000,"S",G12:G1000)</f>
        <v>1043578</v>
      </c>
      <c r="H3" s="9">
        <f>SUMIF(C12:C1000,"M",H12:H1000)+SUMIF(C12:C1000,"S",H12:H1000)</f>
        <v>146.1</v>
      </c>
      <c r="I3" s="9">
        <f>SUMIF(C12:C1000,"M",I12:I1000)+SUMIF(C12:C1000,"S",I12:I1000)</f>
        <v>429478.63</v>
      </c>
      <c r="J3" s="9">
        <f>SUMIF(C12:C1000,"M",J12:J1000)+SUMIF(C12:C1000,"S",J12:J1000)</f>
        <v>429624.73</v>
      </c>
      <c r="K3" s="9">
        <f>SUMIF(C12:C1000,"M",K12:K1000)+SUMIF(C12:C1000,"S",K12:K1000)</f>
        <v>43654.9</v>
      </c>
      <c r="L3" s="9">
        <f>SUMIF(C12:C1000,"M",L12:L1000)+SUMIF(C12:C1000,"S",L12:L1000)</f>
        <v>473279.63</v>
      </c>
      <c r="M3" s="20">
        <f t="shared" ref="M3:M4" si="0">IF(L3=0,0,H3/L3)</f>
        <v>3.0869699589648514E-4</v>
      </c>
      <c r="N3" s="9">
        <f t="shared" ref="N3:N4" si="1">G3-L3</f>
        <v>570298.37</v>
      </c>
      <c r="O3" s="20">
        <f t="shared" ref="O3:O4" si="2">IF(G3=0,0,N3/G3)</f>
        <v>0.54648370318270412</v>
      </c>
    </row>
    <row r="4" spans="2:26" ht="15" customHeight="1">
      <c r="D4" t="s">
        <v>162</v>
      </c>
      <c r="E4" s="9">
        <f>SUMIF(C12:C1000,"E",E12:E1000)+SUMIF(C12:C1000,"O",E12:E1000)+SUMIF(C12:C1000,"T",E12:E1000)</f>
        <v>383140</v>
      </c>
      <c r="F4" s="9">
        <f>SUMIF(C12:C1000,"E",F12:F1000)+SUMIF(C12:C1000,"O",F12:F1000)+SUMIF(C12:C1000,"T",F12:F1000)</f>
        <v>0</v>
      </c>
      <c r="G4" s="9">
        <f>SUMIF(C12:C1000,"E",G12:G1000)+SUMIF(C12:C1000,"O",G12:G1000)+SUMIF(C12:C1000,"T",G12:G1000)</f>
        <v>383140</v>
      </c>
      <c r="H4" s="9">
        <f>SUMIF(C12:C1000,"E",H12:H1000)+SUMIF(C12:C1000,"O",H12:H1000)+SUMIF(C12:C1000,"T",H12:H1000)</f>
        <v>0</v>
      </c>
      <c r="I4" s="9">
        <f>SUMIF(C12:C1000,"E",I12:I1000)+SUMIF(C12:C1000,"O",I12:I1000)+SUMIF(C12:C1000,"T",I12:I1000)</f>
        <v>29087.91</v>
      </c>
      <c r="J4" s="9">
        <f>SUMIF(C12:C1000,"E",J12:J1000)+SUMIF(C12:C1000,"O",J12:J1000)+SUMIF(C12:C1000,"T",J12:J1000)</f>
        <v>29087.91</v>
      </c>
      <c r="K4" s="9">
        <f>SUMIF(C12:C1000,"E",K12:K1000)+SUMIF(C12:C1000,"O",K12:K1000)+SUMIF(C12:C1000,"T",K12:K1000)</f>
        <v>0</v>
      </c>
      <c r="L4" s="9">
        <f>SUMIF(C12:C1000,"E",L12:L1000)+SUMIF(C12:C1000,"O",L12:L1000)+SUMIF(C12:C1000,"T",L12:L1000)</f>
        <v>29087.91</v>
      </c>
      <c r="M4" s="20">
        <f t="shared" si="0"/>
        <v>0</v>
      </c>
      <c r="N4" s="9">
        <f t="shared" si="1"/>
        <v>354052.09</v>
      </c>
      <c r="O4" s="20">
        <f t="shared" si="2"/>
        <v>0.92408020566894611</v>
      </c>
    </row>
    <row r="6" spans="2:26" ht="15" customHeight="1">
      <c r="D6" s="101" t="s">
        <v>163</v>
      </c>
    </row>
    <row r="7" spans="2:26" ht="15" customHeight="1">
      <c r="D7" s="1" t="s">
        <v>161</v>
      </c>
      <c r="N7" s="9" t="e">
        <f>Summary!K20</f>
        <v>#REF!</v>
      </c>
      <c r="O7" s="9" t="e">
        <f t="shared" ref="O7:O8" si="3">N3-N7</f>
        <v>#REF!</v>
      </c>
    </row>
    <row r="8" spans="2:26" ht="15" customHeight="1">
      <c r="D8" s="1" t="s">
        <v>162</v>
      </c>
      <c r="N8" s="9" t="e">
        <f>Summary!K21</f>
        <v>#REF!</v>
      </c>
      <c r="O8" s="9" t="e">
        <f t="shared" si="3"/>
        <v>#REF!</v>
      </c>
    </row>
    <row r="10" spans="2:26" s="101" customFormat="1" ht="15" customHeight="1">
      <c r="B10" s="123" t="s">
        <v>84</v>
      </c>
      <c r="C10" s="123" t="s">
        <v>85</v>
      </c>
      <c r="D10" s="124" t="s">
        <v>85</v>
      </c>
      <c r="E10" s="125">
        <f t="shared" ref="E10:N10" si="4">SUBTOTAL(9,E12:E14,E16:E69,E71:E91,E93:E113,E115)</f>
        <v>1426718</v>
      </c>
      <c r="F10" s="125">
        <f t="shared" si="4"/>
        <v>0</v>
      </c>
      <c r="G10" s="125">
        <f t="shared" si="4"/>
        <v>1426718</v>
      </c>
      <c r="H10" s="125">
        <f t="shared" si="4"/>
        <v>146.1</v>
      </c>
      <c r="I10" s="125">
        <f t="shared" si="4"/>
        <v>458566.54000000004</v>
      </c>
      <c r="J10" s="125">
        <f t="shared" si="4"/>
        <v>458712.64</v>
      </c>
      <c r="K10" s="125">
        <f t="shared" si="4"/>
        <v>43654.9</v>
      </c>
      <c r="L10" s="125">
        <f t="shared" si="4"/>
        <v>502367.54000000004</v>
      </c>
      <c r="M10" s="126" t="s">
        <v>85</v>
      </c>
      <c r="N10" s="125">
        <f t="shared" si="4"/>
        <v>924350.46</v>
      </c>
      <c r="O10" s="100" t="s">
        <v>85</v>
      </c>
      <c r="P10" s="123" t="s">
        <v>85</v>
      </c>
      <c r="Q10" s="123" t="s">
        <v>85</v>
      </c>
    </row>
    <row r="11" spans="2:26" ht="29.25" customHeight="1">
      <c r="B11" s="127" t="s">
        <v>97</v>
      </c>
      <c r="C11" s="128" t="s">
        <v>164</v>
      </c>
      <c r="D11" s="129" t="s">
        <v>96</v>
      </c>
      <c r="E11" s="130" t="s">
        <v>165</v>
      </c>
      <c r="F11" s="131" t="s">
        <v>166</v>
      </c>
      <c r="G11" s="131" t="s">
        <v>167</v>
      </c>
      <c r="H11" s="132" t="s">
        <v>168</v>
      </c>
      <c r="I11" s="132" t="s">
        <v>169</v>
      </c>
      <c r="J11" s="132" t="s">
        <v>170</v>
      </c>
      <c r="K11" s="133" t="s">
        <v>171</v>
      </c>
      <c r="L11" s="132" t="s">
        <v>172</v>
      </c>
      <c r="M11" s="134" t="s">
        <v>173</v>
      </c>
      <c r="N11" s="135" t="s">
        <v>174</v>
      </c>
      <c r="O11" s="136" t="s">
        <v>175</v>
      </c>
      <c r="P11" s="137" t="s">
        <v>120</v>
      </c>
      <c r="Q11" s="137" t="s">
        <v>176</v>
      </c>
      <c r="R11" s="137"/>
      <c r="S11" s="137"/>
      <c r="T11" s="137"/>
      <c r="U11" s="137"/>
      <c r="V11" s="137"/>
      <c r="W11" s="137"/>
      <c r="X11" s="137"/>
      <c r="Y11" s="137"/>
      <c r="Z11" s="137"/>
    </row>
    <row r="12" spans="2:26" ht="15" customHeight="1" outlineLevel="1">
      <c r="B12" s="2" t="s">
        <v>177</v>
      </c>
      <c r="C12" s="2" t="s">
        <v>177</v>
      </c>
      <c r="D12" s="2" t="s">
        <v>178</v>
      </c>
      <c r="E12" s="9">
        <v>96900</v>
      </c>
      <c r="F12" s="9">
        <f>IFERROR(Materials!G12-Materials!E12,"")</f>
        <v>0</v>
      </c>
      <c r="G12" s="9">
        <v>96900</v>
      </c>
      <c r="I12" s="9">
        <v>26643.75</v>
      </c>
      <c r="J12" s="9">
        <f>IFERROR(Materials!H12+Materials!I12,"")</f>
        <v>26643.75</v>
      </c>
      <c r="K12" s="138"/>
      <c r="L12" s="9">
        <f>IFERROR(Materials!J12+Materials!K12,"")</f>
        <v>26643.75</v>
      </c>
      <c r="M12" s="20">
        <f>IFERROR(IF(Materials!L12=0,0,Materials!H12/Materials!L12),"")</f>
        <v>0</v>
      </c>
      <c r="N12" s="9">
        <f>IFERROR(Materials!G12-Materials!L12,"")</f>
        <v>70256.25</v>
      </c>
      <c r="O12" s="20">
        <f>IFERROR(IF(Materials!G12=0,0,Materials!N12/Materials!G12),"")</f>
        <v>0.72503869969040247</v>
      </c>
      <c r="P12" s="2" t="s">
        <v>123</v>
      </c>
      <c r="Q12" s="2" t="s">
        <v>179</v>
      </c>
    </row>
    <row r="13" spans="2:26" ht="15" customHeight="1" outlineLevel="1">
      <c r="B13" s="2" t="s">
        <v>177</v>
      </c>
      <c r="C13" s="2" t="s">
        <v>177</v>
      </c>
      <c r="D13" s="2" t="s">
        <v>180</v>
      </c>
      <c r="E13" s="9">
        <v>5000</v>
      </c>
      <c r="F13" s="9">
        <f>IFERROR(Materials!G13-Materials!E13,"")</f>
        <v>0</v>
      </c>
      <c r="G13" s="9">
        <v>5000</v>
      </c>
      <c r="J13" s="9">
        <f>IFERROR(Materials!H13+Materials!I13,"")</f>
        <v>0</v>
      </c>
      <c r="K13" s="138"/>
      <c r="L13" s="9">
        <f>IFERROR(Materials!J13+Materials!K13,"")</f>
        <v>0</v>
      </c>
      <c r="M13" s="20">
        <f>IFERROR(IF(Materials!L13=0,0,Materials!H13/Materials!L13),"")</f>
        <v>0</v>
      </c>
      <c r="N13" s="9">
        <f>IFERROR(Materials!G13-Materials!L13,"")</f>
        <v>5000</v>
      </c>
      <c r="O13" s="20">
        <f>IFERROR(IF(Materials!G13=0,0,Materials!N13/Materials!G13),"")</f>
        <v>1</v>
      </c>
      <c r="P13" s="2" t="s">
        <v>123</v>
      </c>
      <c r="Q13" s="2" t="s">
        <v>179</v>
      </c>
    </row>
    <row r="14" spans="2:26" ht="15" customHeight="1" outlineLevel="1">
      <c r="B14" s="2" t="s">
        <v>177</v>
      </c>
      <c r="C14" s="2" t="s">
        <v>177</v>
      </c>
      <c r="D14" s="2" t="s">
        <v>181</v>
      </c>
      <c r="E14" s="9">
        <v>0</v>
      </c>
      <c r="F14" s="9">
        <f>IFERROR(Materials!G14-Materials!E14,"")</f>
        <v>0</v>
      </c>
      <c r="G14" s="9">
        <v>0</v>
      </c>
      <c r="J14" s="9">
        <f>IFERROR(Materials!H14+Materials!I14,"")</f>
        <v>0</v>
      </c>
      <c r="K14" s="138"/>
      <c r="L14" s="9">
        <f>IFERROR(Materials!J14+Materials!K14,"")</f>
        <v>0</v>
      </c>
      <c r="M14" s="20">
        <f>IFERROR(IF(Materials!L14=0,0,Materials!H14/Materials!L14),"")</f>
        <v>0</v>
      </c>
      <c r="N14" s="9">
        <f>IFERROR(Materials!G14-Materials!L14,"")</f>
        <v>0</v>
      </c>
      <c r="O14" s="20">
        <f>IFERROR(IF(Materials!G14=0,0,Materials!N14/Materials!G14),"")</f>
        <v>0</v>
      </c>
      <c r="P14" s="2" t="s">
        <v>123</v>
      </c>
      <c r="Q14" s="2" t="s">
        <v>179</v>
      </c>
    </row>
    <row r="15" spans="2:26" ht="15" customHeight="1">
      <c r="B15" s="123" t="s">
        <v>182</v>
      </c>
      <c r="C15" s="123" t="s">
        <v>85</v>
      </c>
      <c r="D15" s="123" t="s">
        <v>85</v>
      </c>
      <c r="E15" s="139">
        <f t="shared" ref="E15:N15" si="5">SUBTOTAL(9,E12:E14)</f>
        <v>101900</v>
      </c>
      <c r="F15" s="139">
        <f t="shared" si="5"/>
        <v>0</v>
      </c>
      <c r="G15" s="139">
        <f t="shared" si="5"/>
        <v>101900</v>
      </c>
      <c r="H15" s="139">
        <f t="shared" si="5"/>
        <v>0</v>
      </c>
      <c r="I15" s="139">
        <f t="shared" si="5"/>
        <v>26643.75</v>
      </c>
      <c r="J15" s="139">
        <f t="shared" si="5"/>
        <v>26643.75</v>
      </c>
      <c r="K15" s="140">
        <f t="shared" si="5"/>
        <v>0</v>
      </c>
      <c r="L15" s="139">
        <f t="shared" si="5"/>
        <v>26643.75</v>
      </c>
      <c r="M15" s="100" t="s">
        <v>85</v>
      </c>
      <c r="N15" s="139">
        <f t="shared" si="5"/>
        <v>75256.25</v>
      </c>
      <c r="O15" s="100" t="s">
        <v>85</v>
      </c>
      <c r="P15" s="123" t="s">
        <v>85</v>
      </c>
      <c r="Q15" s="123" t="s">
        <v>85</v>
      </c>
    </row>
    <row r="16" spans="2:26" ht="15" customHeight="1" outlineLevel="1">
      <c r="B16" s="2" t="s">
        <v>183</v>
      </c>
      <c r="C16" s="2" t="s">
        <v>183</v>
      </c>
      <c r="D16" s="2" t="s">
        <v>184</v>
      </c>
      <c r="E16" s="9">
        <v>0</v>
      </c>
      <c r="F16" s="9">
        <f>IFERROR(Materials!G16-Materials!E16,"")</f>
        <v>0</v>
      </c>
      <c r="G16" s="9">
        <v>0</v>
      </c>
      <c r="J16" s="9">
        <f>IFERROR(Materials!H16+Materials!I16,"")</f>
        <v>0</v>
      </c>
      <c r="K16" s="138"/>
      <c r="L16" s="9">
        <f>IFERROR(Materials!J16+Materials!K16,"")</f>
        <v>0</v>
      </c>
      <c r="M16" s="20">
        <f>IFERROR(IF(Materials!L16=0,0,Materials!H16/Materials!L16),"")</f>
        <v>0</v>
      </c>
      <c r="N16" s="9">
        <f>IFERROR(Materials!G16-Materials!L16,"")</f>
        <v>0</v>
      </c>
      <c r="O16" s="20">
        <f>IFERROR(IF(Materials!G16=0,0,Materials!N16/Materials!G16),"")</f>
        <v>0</v>
      </c>
      <c r="P16" s="2" t="s">
        <v>123</v>
      </c>
      <c r="Q16" s="2" t="s">
        <v>179</v>
      </c>
    </row>
    <row r="17" spans="2:17" ht="15" customHeight="1" outlineLevel="1">
      <c r="B17" s="2" t="s">
        <v>183</v>
      </c>
      <c r="C17" s="2" t="s">
        <v>183</v>
      </c>
      <c r="D17" s="2" t="s">
        <v>185</v>
      </c>
      <c r="E17" s="9">
        <v>4228</v>
      </c>
      <c r="F17" s="9">
        <f>IFERROR(Materials!G17-Materials!E17,"")</f>
        <v>0</v>
      </c>
      <c r="G17" s="9">
        <v>4228</v>
      </c>
      <c r="J17" s="9">
        <f>IFERROR(Materials!H17+Materials!I17,"")</f>
        <v>0</v>
      </c>
      <c r="K17" s="138"/>
      <c r="L17" s="9">
        <f>IFERROR(Materials!J17+Materials!K17,"")</f>
        <v>0</v>
      </c>
      <c r="M17" s="20">
        <f>IFERROR(IF(Materials!L17=0,0,Materials!H17/Materials!L17),"")</f>
        <v>0</v>
      </c>
      <c r="N17" s="9">
        <f>IFERROR(Materials!G17-Materials!L17,"")</f>
        <v>4228</v>
      </c>
      <c r="O17" s="20">
        <f>IFERROR(IF(Materials!G17=0,0,Materials!N17/Materials!G17),"")</f>
        <v>1</v>
      </c>
      <c r="P17" s="2" t="s">
        <v>123</v>
      </c>
      <c r="Q17" s="2" t="s">
        <v>179</v>
      </c>
    </row>
    <row r="18" spans="2:17" ht="15" customHeight="1" outlineLevel="1">
      <c r="B18" s="2" t="s">
        <v>183</v>
      </c>
      <c r="C18" s="2" t="s">
        <v>183</v>
      </c>
      <c r="D18" s="2" t="s">
        <v>186</v>
      </c>
      <c r="E18" s="9">
        <v>52019</v>
      </c>
      <c r="F18" s="9">
        <f>IFERROR(Materials!G18-Materials!E18,"")</f>
        <v>0</v>
      </c>
      <c r="G18" s="9">
        <v>52019</v>
      </c>
      <c r="J18" s="9">
        <f>IFERROR(Materials!H18+Materials!I18,"")</f>
        <v>0</v>
      </c>
      <c r="K18" s="138"/>
      <c r="L18" s="9">
        <f>IFERROR(Materials!J18+Materials!K18,"")</f>
        <v>0</v>
      </c>
      <c r="M18" s="20">
        <f>IFERROR(IF(Materials!L18=0,0,Materials!H18/Materials!L18),"")</f>
        <v>0</v>
      </c>
      <c r="N18" s="9">
        <f>IFERROR(Materials!G18-Materials!L18,"")</f>
        <v>52019</v>
      </c>
      <c r="O18" s="20">
        <f>IFERROR(IF(Materials!G18=0,0,Materials!N18/Materials!G18),"")</f>
        <v>1</v>
      </c>
      <c r="P18" s="2" t="s">
        <v>123</v>
      </c>
      <c r="Q18" s="2" t="s">
        <v>179</v>
      </c>
    </row>
    <row r="19" spans="2:17" ht="15" customHeight="1" outlineLevel="1">
      <c r="B19" s="2" t="s">
        <v>183</v>
      </c>
      <c r="C19" s="2" t="s">
        <v>183</v>
      </c>
      <c r="D19" s="2" t="s">
        <v>187</v>
      </c>
      <c r="E19" s="9">
        <v>2982</v>
      </c>
      <c r="F19" s="9">
        <f>IFERROR(Materials!G19-Materials!E19,"")</f>
        <v>0</v>
      </c>
      <c r="G19" s="9">
        <v>2982</v>
      </c>
      <c r="J19" s="9">
        <f>IFERROR(Materials!H19+Materials!I19,"")</f>
        <v>0</v>
      </c>
      <c r="K19" s="138"/>
      <c r="L19" s="9">
        <f>IFERROR(Materials!J19+Materials!K19,"")</f>
        <v>0</v>
      </c>
      <c r="M19" s="20">
        <f>IFERROR(IF(Materials!L19=0,0,Materials!H19/Materials!L19),"")</f>
        <v>0</v>
      </c>
      <c r="N19" s="9">
        <f>IFERROR(Materials!G19-Materials!L19,"")</f>
        <v>2982</v>
      </c>
      <c r="O19" s="20">
        <f>IFERROR(IF(Materials!G19=0,0,Materials!N19/Materials!G19),"")</f>
        <v>1</v>
      </c>
      <c r="P19" s="2" t="s">
        <v>123</v>
      </c>
      <c r="Q19" s="2" t="s">
        <v>179</v>
      </c>
    </row>
    <row r="20" spans="2:17" ht="15" customHeight="1" outlineLevel="1">
      <c r="B20" s="2" t="s">
        <v>183</v>
      </c>
      <c r="C20" s="2" t="s">
        <v>183</v>
      </c>
      <c r="D20" s="2" t="s">
        <v>188</v>
      </c>
      <c r="E20" s="9">
        <v>0</v>
      </c>
      <c r="F20" s="9">
        <f>IFERROR(Materials!G20-Materials!E20,"")</f>
        <v>0</v>
      </c>
      <c r="G20" s="9">
        <v>0</v>
      </c>
      <c r="J20" s="9">
        <f>IFERROR(Materials!H20+Materials!I20,"")</f>
        <v>0</v>
      </c>
      <c r="K20" s="138"/>
      <c r="L20" s="9">
        <f>IFERROR(Materials!J20+Materials!K20,"")</f>
        <v>0</v>
      </c>
      <c r="M20" s="20">
        <f>IFERROR(IF(Materials!L20=0,0,Materials!H20/Materials!L20),"")</f>
        <v>0</v>
      </c>
      <c r="N20" s="9">
        <f>IFERROR(Materials!G20-Materials!L20,"")</f>
        <v>0</v>
      </c>
      <c r="O20" s="20">
        <f>IFERROR(IF(Materials!G20=0,0,Materials!N20/Materials!G20),"")</f>
        <v>0</v>
      </c>
      <c r="P20" s="2" t="s">
        <v>123</v>
      </c>
      <c r="Q20" s="2" t="s">
        <v>179</v>
      </c>
    </row>
    <row r="21" spans="2:17" ht="15" customHeight="1" outlineLevel="1">
      <c r="B21" s="2" t="s">
        <v>183</v>
      </c>
      <c r="C21" s="2" t="s">
        <v>183</v>
      </c>
      <c r="D21" s="2" t="s">
        <v>189</v>
      </c>
      <c r="E21" s="9">
        <v>0</v>
      </c>
      <c r="F21" s="9">
        <f>IFERROR(Materials!G21-Materials!E21,"")</f>
        <v>0</v>
      </c>
      <c r="G21" s="9">
        <v>0</v>
      </c>
      <c r="J21" s="9">
        <f>IFERROR(Materials!H21+Materials!I21,"")</f>
        <v>0</v>
      </c>
      <c r="K21" s="138"/>
      <c r="L21" s="9">
        <f>IFERROR(Materials!J21+Materials!K21,"")</f>
        <v>0</v>
      </c>
      <c r="M21" s="20">
        <f>IFERROR(IF(Materials!L21=0,0,Materials!H21/Materials!L21),"")</f>
        <v>0</v>
      </c>
      <c r="N21" s="9">
        <f>IFERROR(Materials!G21-Materials!L21,"")</f>
        <v>0</v>
      </c>
      <c r="O21" s="20">
        <f>IFERROR(IF(Materials!G21=0,0,Materials!N21/Materials!G21),"")</f>
        <v>0</v>
      </c>
      <c r="P21" s="2" t="s">
        <v>123</v>
      </c>
      <c r="Q21" s="2" t="s">
        <v>179</v>
      </c>
    </row>
    <row r="22" spans="2:17" ht="15" customHeight="1" outlineLevel="1">
      <c r="B22" s="2" t="s">
        <v>183</v>
      </c>
      <c r="C22" s="2" t="s">
        <v>183</v>
      </c>
      <c r="D22" s="2" t="s">
        <v>190</v>
      </c>
      <c r="E22" s="9">
        <v>0</v>
      </c>
      <c r="F22" s="9">
        <f>IFERROR(Materials!G22-Materials!E22,"")</f>
        <v>0</v>
      </c>
      <c r="G22" s="9">
        <v>0</v>
      </c>
      <c r="J22" s="9">
        <f>IFERROR(Materials!H22+Materials!I22,"")</f>
        <v>0</v>
      </c>
      <c r="K22" s="138"/>
      <c r="L22" s="9">
        <f>IFERROR(Materials!J22+Materials!K22,"")</f>
        <v>0</v>
      </c>
      <c r="M22" s="20">
        <f>IFERROR(IF(Materials!L22=0,0,Materials!H22/Materials!L22),"")</f>
        <v>0</v>
      </c>
      <c r="N22" s="9">
        <f>IFERROR(Materials!G22-Materials!L22,"")</f>
        <v>0</v>
      </c>
      <c r="O22" s="20">
        <f>IFERROR(IF(Materials!G22=0,0,Materials!N22/Materials!G22),"")</f>
        <v>0</v>
      </c>
      <c r="P22" s="2" t="s">
        <v>123</v>
      </c>
      <c r="Q22" s="2" t="s">
        <v>179</v>
      </c>
    </row>
    <row r="23" spans="2:17" ht="15" customHeight="1" outlineLevel="1">
      <c r="B23" s="2" t="s">
        <v>183</v>
      </c>
      <c r="C23" s="2" t="s">
        <v>183</v>
      </c>
      <c r="D23" s="2" t="s">
        <v>191</v>
      </c>
      <c r="E23" s="9">
        <v>0</v>
      </c>
      <c r="F23" s="9">
        <f>IFERROR(Materials!G23-Materials!E23,"")</f>
        <v>0</v>
      </c>
      <c r="G23" s="9">
        <v>0</v>
      </c>
      <c r="J23" s="9">
        <f>IFERROR(Materials!H23+Materials!I23,"")</f>
        <v>0</v>
      </c>
      <c r="K23" s="138"/>
      <c r="L23" s="9">
        <f>IFERROR(Materials!J23+Materials!K23,"")</f>
        <v>0</v>
      </c>
      <c r="M23" s="20">
        <f>IFERROR(IF(Materials!L23=0,0,Materials!H23/Materials!L23),"")</f>
        <v>0</v>
      </c>
      <c r="N23" s="9">
        <f>IFERROR(Materials!G23-Materials!L23,"")</f>
        <v>0</v>
      </c>
      <c r="O23" s="20">
        <f>IFERROR(IF(Materials!G23=0,0,Materials!N23/Materials!G23),"")</f>
        <v>0</v>
      </c>
      <c r="P23" s="2" t="s">
        <v>123</v>
      </c>
      <c r="Q23" s="2" t="s">
        <v>179</v>
      </c>
    </row>
    <row r="24" spans="2:17" ht="15" customHeight="1" outlineLevel="1">
      <c r="B24" s="2" t="s">
        <v>183</v>
      </c>
      <c r="C24" s="2" t="s">
        <v>183</v>
      </c>
      <c r="D24" s="2" t="s">
        <v>192</v>
      </c>
      <c r="E24" s="9">
        <v>0</v>
      </c>
      <c r="F24" s="9">
        <f>IFERROR(Materials!G24-Materials!E24,"")</f>
        <v>0</v>
      </c>
      <c r="G24" s="9">
        <v>0</v>
      </c>
      <c r="J24" s="9">
        <f>IFERROR(Materials!H24+Materials!I24,"")</f>
        <v>0</v>
      </c>
      <c r="K24" s="138"/>
      <c r="L24" s="9">
        <f>IFERROR(Materials!J24+Materials!K24,"")</f>
        <v>0</v>
      </c>
      <c r="M24" s="20">
        <f>IFERROR(IF(Materials!L24=0,0,Materials!H24/Materials!L24),"")</f>
        <v>0</v>
      </c>
      <c r="N24" s="9">
        <f>IFERROR(Materials!G24-Materials!L24,"")</f>
        <v>0</v>
      </c>
      <c r="O24" s="20">
        <f>IFERROR(IF(Materials!G24=0,0,Materials!N24/Materials!G24),"")</f>
        <v>0</v>
      </c>
      <c r="P24" s="2" t="s">
        <v>123</v>
      </c>
      <c r="Q24" s="2" t="s">
        <v>179</v>
      </c>
    </row>
    <row r="25" spans="2:17" ht="15" customHeight="1" outlineLevel="1">
      <c r="B25" s="2" t="s">
        <v>183</v>
      </c>
      <c r="C25" s="2" t="s">
        <v>183</v>
      </c>
      <c r="D25" s="2" t="s">
        <v>193</v>
      </c>
      <c r="E25" s="9">
        <v>43801</v>
      </c>
      <c r="F25" s="9">
        <f>IFERROR(Materials!G25-Materials!E25,"")</f>
        <v>0</v>
      </c>
      <c r="G25" s="9">
        <v>43801</v>
      </c>
      <c r="H25" s="9">
        <v>146.1</v>
      </c>
      <c r="I25" s="9">
        <v>0</v>
      </c>
      <c r="J25" s="9">
        <f>IFERROR(Materials!H25+Materials!I25,"")</f>
        <v>146.1</v>
      </c>
      <c r="K25" s="138">
        <v>43654.9</v>
      </c>
      <c r="L25" s="9">
        <f>IFERROR(Materials!J25+Materials!K25,"")</f>
        <v>43801</v>
      </c>
      <c r="M25" s="20">
        <f>IFERROR(IF(Materials!L25=0,0,Materials!H25/Materials!L25),"")</f>
        <v>3.3355402844683908E-3</v>
      </c>
      <c r="N25" s="9">
        <f>IFERROR(Materials!G25-Materials!L25,"")</f>
        <v>0</v>
      </c>
      <c r="O25" s="20">
        <f>IFERROR(IF(Materials!G25=0,0,Materials!N25/Materials!G25),"")</f>
        <v>0</v>
      </c>
      <c r="P25" s="2" t="s">
        <v>123</v>
      </c>
      <c r="Q25" s="2" t="s">
        <v>179</v>
      </c>
    </row>
    <row r="26" spans="2:17" ht="15" customHeight="1" outlineLevel="1">
      <c r="B26" s="2" t="s">
        <v>183</v>
      </c>
      <c r="C26" s="2" t="s">
        <v>183</v>
      </c>
      <c r="D26" s="2" t="s">
        <v>194</v>
      </c>
      <c r="E26" s="9">
        <v>666</v>
      </c>
      <c r="F26" s="9">
        <f>IFERROR(Materials!G26-Materials!E26,"")</f>
        <v>0</v>
      </c>
      <c r="G26" s="9">
        <v>666</v>
      </c>
      <c r="J26" s="9">
        <f>IFERROR(Materials!H26+Materials!I26,"")</f>
        <v>0</v>
      </c>
      <c r="K26" s="138"/>
      <c r="L26" s="9">
        <f>IFERROR(Materials!J26+Materials!K26,"")</f>
        <v>0</v>
      </c>
      <c r="M26" s="20">
        <f>IFERROR(IF(Materials!L26=0,0,Materials!H26/Materials!L26),"")</f>
        <v>0</v>
      </c>
      <c r="N26" s="9">
        <f>IFERROR(Materials!G26-Materials!L26,"")</f>
        <v>666</v>
      </c>
      <c r="O26" s="20">
        <f>IFERROR(IF(Materials!G26=0,0,Materials!N26/Materials!G26),"")</f>
        <v>1</v>
      </c>
      <c r="P26" s="2" t="s">
        <v>123</v>
      </c>
      <c r="Q26" s="2" t="s">
        <v>179</v>
      </c>
    </row>
    <row r="27" spans="2:17" ht="15" customHeight="1" outlineLevel="1">
      <c r="B27" s="2" t="s">
        <v>183</v>
      </c>
      <c r="C27" s="2" t="s">
        <v>183</v>
      </c>
      <c r="D27" s="2" t="s">
        <v>195</v>
      </c>
      <c r="E27" s="9">
        <v>14476</v>
      </c>
      <c r="F27" s="9">
        <f>IFERROR(Materials!G27-Materials!E27,"")</f>
        <v>0</v>
      </c>
      <c r="G27" s="9">
        <v>14476</v>
      </c>
      <c r="J27" s="9">
        <f>IFERROR(Materials!H27+Materials!I27,"")</f>
        <v>0</v>
      </c>
      <c r="K27" s="138"/>
      <c r="L27" s="9">
        <f>IFERROR(Materials!J27+Materials!K27,"")</f>
        <v>0</v>
      </c>
      <c r="M27" s="20">
        <f>IFERROR(IF(Materials!L27=0,0,Materials!H27/Materials!L27),"")</f>
        <v>0</v>
      </c>
      <c r="N27" s="9">
        <f>IFERROR(Materials!G27-Materials!L27,"")</f>
        <v>14476</v>
      </c>
      <c r="O27" s="20">
        <f>IFERROR(IF(Materials!G27=0,0,Materials!N27/Materials!G27),"")</f>
        <v>1</v>
      </c>
      <c r="P27" s="2" t="s">
        <v>123</v>
      </c>
      <c r="Q27" s="2" t="s">
        <v>179</v>
      </c>
    </row>
    <row r="28" spans="2:17" ht="15" customHeight="1" outlineLevel="1">
      <c r="B28" s="2" t="s">
        <v>183</v>
      </c>
      <c r="C28" s="2" t="s">
        <v>183</v>
      </c>
      <c r="D28" s="2" t="s">
        <v>196</v>
      </c>
      <c r="E28" s="9">
        <v>0</v>
      </c>
      <c r="F28" s="9">
        <f>IFERROR(Materials!G28-Materials!E28,"")</f>
        <v>0</v>
      </c>
      <c r="G28" s="9">
        <v>0</v>
      </c>
      <c r="J28" s="9">
        <f>IFERROR(Materials!H28+Materials!I28,"")</f>
        <v>0</v>
      </c>
      <c r="K28" s="138"/>
      <c r="L28" s="9">
        <f>IFERROR(Materials!J28+Materials!K28,"")</f>
        <v>0</v>
      </c>
      <c r="M28" s="20">
        <f>IFERROR(IF(Materials!L28=0,0,Materials!H28/Materials!L28),"")</f>
        <v>0</v>
      </c>
      <c r="N28" s="9">
        <f>IFERROR(Materials!G28-Materials!L28,"")</f>
        <v>0</v>
      </c>
      <c r="O28" s="20">
        <f>IFERROR(IF(Materials!G28=0,0,Materials!N28/Materials!G28),"")</f>
        <v>0</v>
      </c>
      <c r="P28" s="2" t="s">
        <v>123</v>
      </c>
      <c r="Q28" s="2" t="s">
        <v>179</v>
      </c>
    </row>
    <row r="29" spans="2:17" ht="15" customHeight="1" outlineLevel="1">
      <c r="B29" s="2" t="s">
        <v>183</v>
      </c>
      <c r="C29" s="2" t="s">
        <v>183</v>
      </c>
      <c r="D29" s="2" t="s">
        <v>197</v>
      </c>
      <c r="E29" s="9">
        <v>1429</v>
      </c>
      <c r="F29" s="9">
        <f>IFERROR(Materials!G29-Materials!E29,"")</f>
        <v>0</v>
      </c>
      <c r="G29" s="9">
        <v>1429</v>
      </c>
      <c r="J29" s="9">
        <f>IFERROR(Materials!H29+Materials!I29,"")</f>
        <v>0</v>
      </c>
      <c r="K29" s="138"/>
      <c r="L29" s="9">
        <f>IFERROR(Materials!J29+Materials!K29,"")</f>
        <v>0</v>
      </c>
      <c r="M29" s="20">
        <f>IFERROR(IF(Materials!L29=0,0,Materials!H29/Materials!L29),"")</f>
        <v>0</v>
      </c>
      <c r="N29" s="9">
        <f>IFERROR(Materials!G29-Materials!L29,"")</f>
        <v>1429</v>
      </c>
      <c r="O29" s="20">
        <f>IFERROR(IF(Materials!G29=0,0,Materials!N29/Materials!G29),"")</f>
        <v>1</v>
      </c>
      <c r="P29" s="2" t="s">
        <v>123</v>
      </c>
      <c r="Q29" s="2" t="s">
        <v>179</v>
      </c>
    </row>
    <row r="30" spans="2:17" ht="15" customHeight="1" outlineLevel="1">
      <c r="B30" s="2" t="s">
        <v>183</v>
      </c>
      <c r="C30" s="2" t="s">
        <v>183</v>
      </c>
      <c r="D30" s="2" t="s">
        <v>198</v>
      </c>
      <c r="E30" s="9">
        <v>10483</v>
      </c>
      <c r="F30" s="9">
        <f>IFERROR(Materials!G30-Materials!E30,"")</f>
        <v>0</v>
      </c>
      <c r="G30" s="9">
        <v>10483</v>
      </c>
      <c r="I30" s="9">
        <v>226.3</v>
      </c>
      <c r="J30" s="9">
        <f>IFERROR(Materials!H30+Materials!I30,"")</f>
        <v>226.3</v>
      </c>
      <c r="K30" s="138"/>
      <c r="L30" s="9">
        <f>IFERROR(Materials!J30+Materials!K30,"")</f>
        <v>226.3</v>
      </c>
      <c r="M30" s="20">
        <f>IFERROR(IF(Materials!L30=0,0,Materials!H30/Materials!L30),"")</f>
        <v>0</v>
      </c>
      <c r="N30" s="9">
        <f>IFERROR(Materials!G30-Materials!L30,"")</f>
        <v>10256.700000000001</v>
      </c>
      <c r="O30" s="20">
        <f>IFERROR(IF(Materials!G30=0,0,Materials!N30/Materials!G30),"")</f>
        <v>0.97841266812935235</v>
      </c>
      <c r="P30" s="2" t="s">
        <v>123</v>
      </c>
      <c r="Q30" s="2" t="s">
        <v>179</v>
      </c>
    </row>
    <row r="31" spans="2:17" ht="15" customHeight="1" outlineLevel="1">
      <c r="B31" s="2" t="s">
        <v>183</v>
      </c>
      <c r="C31" s="2" t="s">
        <v>183</v>
      </c>
      <c r="D31" s="2" t="s">
        <v>199</v>
      </c>
      <c r="E31" s="9">
        <v>0</v>
      </c>
      <c r="F31" s="9">
        <f>IFERROR(Materials!G31-Materials!E31,"")</f>
        <v>0</v>
      </c>
      <c r="G31" s="9">
        <v>0</v>
      </c>
      <c r="J31" s="9">
        <f>IFERROR(Materials!H31+Materials!I31,"")</f>
        <v>0</v>
      </c>
      <c r="K31" s="138"/>
      <c r="L31" s="9">
        <f>IFERROR(Materials!J31+Materials!K31,"")</f>
        <v>0</v>
      </c>
      <c r="M31" s="20">
        <f>IFERROR(IF(Materials!L31=0,0,Materials!H31/Materials!L31),"")</f>
        <v>0</v>
      </c>
      <c r="N31" s="9">
        <f>IFERROR(Materials!G31-Materials!L31,"")</f>
        <v>0</v>
      </c>
      <c r="O31" s="20">
        <f>IFERROR(IF(Materials!G31=0,0,Materials!N31/Materials!G31),"")</f>
        <v>0</v>
      </c>
      <c r="P31" s="2" t="s">
        <v>123</v>
      </c>
      <c r="Q31" s="2" t="s">
        <v>179</v>
      </c>
    </row>
    <row r="32" spans="2:17" ht="15" customHeight="1" outlineLevel="1">
      <c r="B32" s="2" t="s">
        <v>183</v>
      </c>
      <c r="C32" s="2" t="s">
        <v>183</v>
      </c>
      <c r="D32" s="2" t="s">
        <v>200</v>
      </c>
      <c r="E32" s="9">
        <v>155925</v>
      </c>
      <c r="F32" s="9">
        <f>IFERROR(Materials!G32-Materials!E32,"")</f>
        <v>0</v>
      </c>
      <c r="G32" s="9">
        <v>155925</v>
      </c>
      <c r="J32" s="9">
        <f>IFERROR(Materials!H32+Materials!I32,"")</f>
        <v>0</v>
      </c>
      <c r="K32" s="138"/>
      <c r="L32" s="9">
        <f>IFERROR(Materials!J32+Materials!K32,"")</f>
        <v>0</v>
      </c>
      <c r="M32" s="20">
        <f>IFERROR(IF(Materials!L32=0,0,Materials!H32/Materials!L32),"")</f>
        <v>0</v>
      </c>
      <c r="N32" s="9">
        <f>IFERROR(Materials!G32-Materials!L32,"")</f>
        <v>155925</v>
      </c>
      <c r="O32" s="20">
        <f>IFERROR(IF(Materials!G32=0,0,Materials!N32/Materials!G32),"")</f>
        <v>1</v>
      </c>
      <c r="P32" s="2" t="s">
        <v>123</v>
      </c>
      <c r="Q32" s="2" t="s">
        <v>179</v>
      </c>
    </row>
    <row r="33" spans="2:17" ht="15" customHeight="1" outlineLevel="1">
      <c r="B33" s="2" t="s">
        <v>183</v>
      </c>
      <c r="C33" s="2" t="s">
        <v>183</v>
      </c>
      <c r="D33" s="2" t="s">
        <v>201</v>
      </c>
      <c r="E33" s="9">
        <v>0</v>
      </c>
      <c r="F33" s="9">
        <f>IFERROR(Materials!G33-Materials!E33,"")</f>
        <v>0</v>
      </c>
      <c r="G33" s="9">
        <v>0</v>
      </c>
      <c r="J33" s="9">
        <f>IFERROR(Materials!H33+Materials!I33,"")</f>
        <v>0</v>
      </c>
      <c r="K33" s="138"/>
      <c r="L33" s="9">
        <f>IFERROR(Materials!J33+Materials!K33,"")</f>
        <v>0</v>
      </c>
      <c r="M33" s="20">
        <f>IFERROR(IF(Materials!L33=0,0,Materials!H33/Materials!L33),"")</f>
        <v>0</v>
      </c>
      <c r="N33" s="9">
        <f>IFERROR(Materials!G33-Materials!L33,"")</f>
        <v>0</v>
      </c>
      <c r="O33" s="20">
        <f>IFERROR(IF(Materials!G33=0,0,Materials!N33/Materials!G33),"")</f>
        <v>0</v>
      </c>
      <c r="P33" s="2" t="s">
        <v>123</v>
      </c>
      <c r="Q33" s="2" t="s">
        <v>179</v>
      </c>
    </row>
    <row r="34" spans="2:17" ht="15" customHeight="1" outlineLevel="1">
      <c r="B34" s="2" t="s">
        <v>183</v>
      </c>
      <c r="C34" s="2" t="s">
        <v>183</v>
      </c>
      <c r="D34" s="2" t="s">
        <v>202</v>
      </c>
      <c r="E34" s="9">
        <v>6961</v>
      </c>
      <c r="F34" s="9">
        <f>IFERROR(Materials!G34-Materials!E34,"")</f>
        <v>0</v>
      </c>
      <c r="G34" s="9">
        <v>6961</v>
      </c>
      <c r="J34" s="9">
        <f>IFERROR(Materials!H34+Materials!I34,"")</f>
        <v>0</v>
      </c>
      <c r="K34" s="138"/>
      <c r="L34" s="9">
        <f>IFERROR(Materials!J34+Materials!K34,"")</f>
        <v>0</v>
      </c>
      <c r="M34" s="20">
        <f>IFERROR(IF(Materials!L34=0,0,Materials!H34/Materials!L34),"")</f>
        <v>0</v>
      </c>
      <c r="N34" s="9">
        <f>IFERROR(Materials!G34-Materials!L34,"")</f>
        <v>6961</v>
      </c>
      <c r="O34" s="20">
        <f>IFERROR(IF(Materials!G34=0,0,Materials!N34/Materials!G34),"")</f>
        <v>1</v>
      </c>
      <c r="P34" s="2" t="s">
        <v>123</v>
      </c>
      <c r="Q34" s="2" t="s">
        <v>179</v>
      </c>
    </row>
    <row r="35" spans="2:17" ht="15" customHeight="1" outlineLevel="1">
      <c r="B35" s="2" t="s">
        <v>183</v>
      </c>
      <c r="C35" s="2" t="s">
        <v>183</v>
      </c>
      <c r="D35" s="2" t="s">
        <v>203</v>
      </c>
      <c r="E35" s="9">
        <v>0</v>
      </c>
      <c r="F35" s="9">
        <f>IFERROR(Materials!G35-Materials!E35,"")</f>
        <v>0</v>
      </c>
      <c r="G35" s="9">
        <v>0</v>
      </c>
      <c r="J35" s="9">
        <f>IFERROR(Materials!H35+Materials!I35,"")</f>
        <v>0</v>
      </c>
      <c r="K35" s="138"/>
      <c r="L35" s="9">
        <f>IFERROR(Materials!J35+Materials!K35,"")</f>
        <v>0</v>
      </c>
      <c r="M35" s="20">
        <f>IFERROR(IF(Materials!L35=0,0,Materials!H35/Materials!L35),"")</f>
        <v>0</v>
      </c>
      <c r="N35" s="9">
        <f>IFERROR(Materials!G35-Materials!L35,"")</f>
        <v>0</v>
      </c>
      <c r="O35" s="20">
        <f>IFERROR(IF(Materials!G35=0,0,Materials!N35/Materials!G35),"")</f>
        <v>0</v>
      </c>
      <c r="P35" s="2" t="s">
        <v>123</v>
      </c>
      <c r="Q35" s="2" t="s">
        <v>179</v>
      </c>
    </row>
    <row r="36" spans="2:17" ht="15" customHeight="1" outlineLevel="1">
      <c r="B36" s="2" t="s">
        <v>183</v>
      </c>
      <c r="C36" s="2" t="s">
        <v>183</v>
      </c>
      <c r="D36" s="2" t="s">
        <v>204</v>
      </c>
      <c r="E36" s="9">
        <v>1305</v>
      </c>
      <c r="F36" s="9">
        <f>IFERROR(Materials!G36-Materials!E36,"")</f>
        <v>0</v>
      </c>
      <c r="G36" s="9">
        <v>1305</v>
      </c>
      <c r="I36" s="9">
        <v>3719.89</v>
      </c>
      <c r="J36" s="9">
        <f>IFERROR(Materials!H36+Materials!I36,"")</f>
        <v>3719.89</v>
      </c>
      <c r="K36" s="138"/>
      <c r="L36" s="9">
        <f>IFERROR(Materials!J36+Materials!K36,"")</f>
        <v>3719.89</v>
      </c>
      <c r="M36" s="20">
        <f>IFERROR(IF(Materials!L36=0,0,Materials!H36/Materials!L36),"")</f>
        <v>0</v>
      </c>
      <c r="N36" s="9">
        <f>IFERROR(Materials!G36-Materials!L36,"")</f>
        <v>-2414.89</v>
      </c>
      <c r="O36" s="20">
        <f>IFERROR(IF(Materials!G36=0,0,Materials!N36/Materials!G36),"")</f>
        <v>-1.8504904214559386</v>
      </c>
      <c r="P36" s="2" t="s">
        <v>123</v>
      </c>
      <c r="Q36" s="2" t="s">
        <v>179</v>
      </c>
    </row>
    <row r="37" spans="2:17" ht="15" customHeight="1" outlineLevel="1">
      <c r="B37" s="2" t="s">
        <v>183</v>
      </c>
      <c r="C37" s="2" t="s">
        <v>183</v>
      </c>
      <c r="D37" s="2" t="s">
        <v>205</v>
      </c>
      <c r="E37" s="9">
        <v>4667</v>
      </c>
      <c r="F37" s="9">
        <f>IFERROR(Materials!G37-Materials!E37,"")</f>
        <v>0</v>
      </c>
      <c r="G37" s="9">
        <v>4667</v>
      </c>
      <c r="I37" s="9">
        <v>1653.44</v>
      </c>
      <c r="J37" s="9">
        <f>IFERROR(Materials!H37+Materials!I37,"")</f>
        <v>1653.44</v>
      </c>
      <c r="K37" s="138"/>
      <c r="L37" s="9">
        <f>IFERROR(Materials!J37+Materials!K37,"")</f>
        <v>1653.44</v>
      </c>
      <c r="M37" s="20">
        <f>IFERROR(IF(Materials!L37=0,0,Materials!H37/Materials!L37),"")</f>
        <v>0</v>
      </c>
      <c r="N37" s="9">
        <f>IFERROR(Materials!G37-Materials!L37,"")</f>
        <v>3013.56</v>
      </c>
      <c r="O37" s="20">
        <f>IFERROR(IF(Materials!G37=0,0,Materials!N37/Materials!G37),"")</f>
        <v>0.64571673451896294</v>
      </c>
      <c r="P37" s="2" t="s">
        <v>123</v>
      </c>
      <c r="Q37" s="2" t="s">
        <v>179</v>
      </c>
    </row>
    <row r="38" spans="2:17" ht="15" customHeight="1" outlineLevel="1">
      <c r="B38" s="2" t="s">
        <v>183</v>
      </c>
      <c r="C38" s="2" t="s">
        <v>183</v>
      </c>
      <c r="D38" s="2" t="s">
        <v>206</v>
      </c>
      <c r="E38" s="9">
        <v>0</v>
      </c>
      <c r="F38" s="9">
        <f>IFERROR(Materials!G38-Materials!E38,"")</f>
        <v>0</v>
      </c>
      <c r="G38" s="9">
        <v>0</v>
      </c>
      <c r="J38" s="9">
        <f>IFERROR(Materials!H38+Materials!I38,"")</f>
        <v>0</v>
      </c>
      <c r="K38" s="138"/>
      <c r="L38" s="9">
        <f>IFERROR(Materials!J38+Materials!K38,"")</f>
        <v>0</v>
      </c>
      <c r="M38" s="20">
        <f>IFERROR(IF(Materials!L38=0,0,Materials!H38/Materials!L38),"")</f>
        <v>0</v>
      </c>
      <c r="N38" s="9">
        <f>IFERROR(Materials!G38-Materials!L38,"")</f>
        <v>0</v>
      </c>
      <c r="O38" s="20">
        <f>IFERROR(IF(Materials!G38=0,0,Materials!N38/Materials!G38),"")</f>
        <v>0</v>
      </c>
      <c r="P38" s="2" t="s">
        <v>123</v>
      </c>
      <c r="Q38" s="2" t="s">
        <v>179</v>
      </c>
    </row>
    <row r="39" spans="2:17" ht="15" customHeight="1" outlineLevel="1">
      <c r="B39" s="2" t="s">
        <v>183</v>
      </c>
      <c r="C39" s="2" t="s">
        <v>183</v>
      </c>
      <c r="D39" s="2" t="s">
        <v>207</v>
      </c>
      <c r="E39" s="9">
        <v>0</v>
      </c>
      <c r="F39" s="9">
        <f>IFERROR(Materials!G39-Materials!E39,"")</f>
        <v>0</v>
      </c>
      <c r="G39" s="9">
        <v>0</v>
      </c>
      <c r="J39" s="9">
        <f>IFERROR(Materials!H39+Materials!I39,"")</f>
        <v>0</v>
      </c>
      <c r="K39" s="138"/>
      <c r="L39" s="9">
        <f>IFERROR(Materials!J39+Materials!K39,"")</f>
        <v>0</v>
      </c>
      <c r="M39" s="20">
        <f>IFERROR(IF(Materials!L39=0,0,Materials!H39/Materials!L39),"")</f>
        <v>0</v>
      </c>
      <c r="N39" s="9">
        <f>IFERROR(Materials!G39-Materials!L39,"")</f>
        <v>0</v>
      </c>
      <c r="O39" s="20">
        <f>IFERROR(IF(Materials!G39=0,0,Materials!N39/Materials!G39),"")</f>
        <v>0</v>
      </c>
      <c r="P39" s="2" t="s">
        <v>123</v>
      </c>
      <c r="Q39" s="2" t="s">
        <v>179</v>
      </c>
    </row>
    <row r="40" spans="2:17" ht="15" customHeight="1" outlineLevel="1">
      <c r="B40" s="2" t="s">
        <v>183</v>
      </c>
      <c r="C40" s="2" t="s">
        <v>183</v>
      </c>
      <c r="D40" s="2" t="s">
        <v>208</v>
      </c>
      <c r="E40" s="9">
        <v>0</v>
      </c>
      <c r="F40" s="9">
        <f>IFERROR(Materials!G40-Materials!E40,"")</f>
        <v>0</v>
      </c>
      <c r="G40" s="9">
        <v>0</v>
      </c>
      <c r="J40" s="9">
        <f>IFERROR(Materials!H40+Materials!I40,"")</f>
        <v>0</v>
      </c>
      <c r="K40" s="138"/>
      <c r="L40" s="9">
        <f>IFERROR(Materials!J40+Materials!K40,"")</f>
        <v>0</v>
      </c>
      <c r="M40" s="20">
        <f>IFERROR(IF(Materials!L40=0,0,Materials!H40/Materials!L40),"")</f>
        <v>0</v>
      </c>
      <c r="N40" s="9">
        <f>IFERROR(Materials!G40-Materials!L40,"")</f>
        <v>0</v>
      </c>
      <c r="O40" s="20">
        <f>IFERROR(IF(Materials!G40=0,0,Materials!N40/Materials!G40),"")</f>
        <v>0</v>
      </c>
      <c r="P40" s="2" t="s">
        <v>123</v>
      </c>
      <c r="Q40" s="2" t="s">
        <v>179</v>
      </c>
    </row>
    <row r="41" spans="2:17" ht="15" customHeight="1" outlineLevel="1">
      <c r="B41" s="2" t="s">
        <v>183</v>
      </c>
      <c r="C41" s="2" t="s">
        <v>183</v>
      </c>
      <c r="D41" s="2" t="s">
        <v>209</v>
      </c>
      <c r="E41" s="9">
        <v>0</v>
      </c>
      <c r="F41" s="9">
        <f>IFERROR(Materials!G41-Materials!E41,"")</f>
        <v>0</v>
      </c>
      <c r="G41" s="9">
        <v>0</v>
      </c>
      <c r="J41" s="9">
        <f>IFERROR(Materials!H41+Materials!I41,"")</f>
        <v>0</v>
      </c>
      <c r="K41" s="138"/>
      <c r="L41" s="9">
        <f>IFERROR(Materials!J41+Materials!K41,"")</f>
        <v>0</v>
      </c>
      <c r="M41" s="20">
        <f>IFERROR(IF(Materials!L41=0,0,Materials!H41/Materials!L41),"")</f>
        <v>0</v>
      </c>
      <c r="N41" s="9">
        <f>IFERROR(Materials!G41-Materials!L41,"")</f>
        <v>0</v>
      </c>
      <c r="O41" s="20">
        <f>IFERROR(IF(Materials!G41=0,0,Materials!N41/Materials!G41),"")</f>
        <v>0</v>
      </c>
      <c r="P41" s="2" t="s">
        <v>123</v>
      </c>
      <c r="Q41" s="2" t="s">
        <v>179</v>
      </c>
    </row>
    <row r="42" spans="2:17" ht="15" customHeight="1" outlineLevel="1">
      <c r="B42" s="2" t="s">
        <v>183</v>
      </c>
      <c r="C42" s="2" t="s">
        <v>183</v>
      </c>
      <c r="D42" s="2" t="s">
        <v>210</v>
      </c>
      <c r="E42" s="9">
        <v>0</v>
      </c>
      <c r="F42" s="9">
        <f>IFERROR(Materials!G42-Materials!E42,"")</f>
        <v>0</v>
      </c>
      <c r="G42" s="9">
        <v>0</v>
      </c>
      <c r="J42" s="9">
        <f>IFERROR(Materials!H42+Materials!I42,"")</f>
        <v>0</v>
      </c>
      <c r="K42" s="138"/>
      <c r="L42" s="9">
        <f>IFERROR(Materials!J42+Materials!K42,"")</f>
        <v>0</v>
      </c>
      <c r="M42" s="20">
        <f>IFERROR(IF(Materials!L42=0,0,Materials!H42/Materials!L42),"")</f>
        <v>0</v>
      </c>
      <c r="N42" s="9">
        <f>IFERROR(Materials!G42-Materials!L42,"")</f>
        <v>0</v>
      </c>
      <c r="O42" s="20">
        <f>IFERROR(IF(Materials!G42=0,0,Materials!N42/Materials!G42),"")</f>
        <v>0</v>
      </c>
      <c r="P42" s="2" t="s">
        <v>123</v>
      </c>
      <c r="Q42" s="2" t="s">
        <v>179</v>
      </c>
    </row>
    <row r="43" spans="2:17" ht="15" customHeight="1" outlineLevel="1">
      <c r="B43" s="2" t="s">
        <v>183</v>
      </c>
      <c r="C43" s="2" t="s">
        <v>183</v>
      </c>
      <c r="D43" s="2" t="s">
        <v>211</v>
      </c>
      <c r="E43" s="9">
        <v>0</v>
      </c>
      <c r="F43" s="9">
        <f>IFERROR(Materials!G43-Materials!E43,"")</f>
        <v>0</v>
      </c>
      <c r="G43" s="9">
        <v>0</v>
      </c>
      <c r="J43" s="9">
        <f>IFERROR(Materials!H43+Materials!I43,"")</f>
        <v>0</v>
      </c>
      <c r="K43" s="138"/>
      <c r="L43" s="9">
        <f>IFERROR(Materials!J43+Materials!K43,"")</f>
        <v>0</v>
      </c>
      <c r="M43" s="20">
        <f>IFERROR(IF(Materials!L43=0,0,Materials!H43/Materials!L43),"")</f>
        <v>0</v>
      </c>
      <c r="N43" s="9">
        <f>IFERROR(Materials!G43-Materials!L43,"")</f>
        <v>0</v>
      </c>
      <c r="O43" s="20">
        <f>IFERROR(IF(Materials!G43=0,0,Materials!N43/Materials!G43),"")</f>
        <v>0</v>
      </c>
      <c r="P43" s="2" t="s">
        <v>123</v>
      </c>
      <c r="Q43" s="2" t="s">
        <v>179</v>
      </c>
    </row>
    <row r="44" spans="2:17" ht="15" customHeight="1" outlineLevel="1">
      <c r="B44" s="2" t="s">
        <v>183</v>
      </c>
      <c r="C44" s="2" t="s">
        <v>183</v>
      </c>
      <c r="D44" s="2" t="s">
        <v>212</v>
      </c>
      <c r="E44" s="9">
        <v>0</v>
      </c>
      <c r="F44" s="9">
        <f>IFERROR(Materials!G44-Materials!E44,"")</f>
        <v>0</v>
      </c>
      <c r="G44" s="9">
        <v>0</v>
      </c>
      <c r="J44" s="9">
        <f>IFERROR(Materials!H44+Materials!I44,"")</f>
        <v>0</v>
      </c>
      <c r="K44" s="138"/>
      <c r="L44" s="9">
        <f>IFERROR(Materials!J44+Materials!K44,"")</f>
        <v>0</v>
      </c>
      <c r="M44" s="20">
        <f>IFERROR(IF(Materials!L44=0,0,Materials!H44/Materials!L44),"")</f>
        <v>0</v>
      </c>
      <c r="N44" s="9">
        <f>IFERROR(Materials!G44-Materials!L44,"")</f>
        <v>0</v>
      </c>
      <c r="O44" s="20">
        <f>IFERROR(IF(Materials!G44=0,0,Materials!N44/Materials!G44),"")</f>
        <v>0</v>
      </c>
      <c r="P44" s="2" t="s">
        <v>123</v>
      </c>
      <c r="Q44" s="2" t="s">
        <v>179</v>
      </c>
    </row>
    <row r="45" spans="2:17" ht="15" customHeight="1" outlineLevel="1">
      <c r="B45" s="2" t="s">
        <v>183</v>
      </c>
      <c r="C45" s="2" t="s">
        <v>183</v>
      </c>
      <c r="D45" s="2" t="s">
        <v>213</v>
      </c>
      <c r="E45" s="9">
        <v>0</v>
      </c>
      <c r="F45" s="9">
        <f>IFERROR(Materials!G45-Materials!E45,"")</f>
        <v>0</v>
      </c>
      <c r="G45" s="9">
        <v>0</v>
      </c>
      <c r="J45" s="9">
        <f>IFERROR(Materials!H45+Materials!I45,"")</f>
        <v>0</v>
      </c>
      <c r="K45" s="138"/>
      <c r="L45" s="9">
        <f>IFERROR(Materials!J45+Materials!K45,"")</f>
        <v>0</v>
      </c>
      <c r="M45" s="20">
        <f>IFERROR(IF(Materials!L45=0,0,Materials!H45/Materials!L45),"")</f>
        <v>0</v>
      </c>
      <c r="N45" s="9">
        <f>IFERROR(Materials!G45-Materials!L45,"")</f>
        <v>0</v>
      </c>
      <c r="O45" s="20">
        <f>IFERROR(IF(Materials!G45=0,0,Materials!N45/Materials!G45),"")</f>
        <v>0</v>
      </c>
      <c r="P45" s="2" t="s">
        <v>123</v>
      </c>
      <c r="Q45" s="2" t="s">
        <v>179</v>
      </c>
    </row>
    <row r="46" spans="2:17" ht="15" customHeight="1" outlineLevel="1">
      <c r="B46" s="2" t="s">
        <v>183</v>
      </c>
      <c r="C46" s="2" t="s">
        <v>183</v>
      </c>
      <c r="D46" s="2" t="s">
        <v>214</v>
      </c>
      <c r="E46" s="9">
        <v>0</v>
      </c>
      <c r="F46" s="9">
        <f>IFERROR(Materials!G46-Materials!E46,"")</f>
        <v>0</v>
      </c>
      <c r="G46" s="9">
        <v>0</v>
      </c>
      <c r="J46" s="9">
        <f>IFERROR(Materials!H46+Materials!I46,"")</f>
        <v>0</v>
      </c>
      <c r="K46" s="138"/>
      <c r="L46" s="9">
        <f>IFERROR(Materials!J46+Materials!K46,"")</f>
        <v>0</v>
      </c>
      <c r="M46" s="20">
        <f>IFERROR(IF(Materials!L46=0,0,Materials!H46/Materials!L46),"")</f>
        <v>0</v>
      </c>
      <c r="N46" s="9">
        <f>IFERROR(Materials!G46-Materials!L46,"")</f>
        <v>0</v>
      </c>
      <c r="O46" s="20">
        <f>IFERROR(IF(Materials!G46=0,0,Materials!N46/Materials!G46),"")</f>
        <v>0</v>
      </c>
      <c r="P46" s="2" t="s">
        <v>123</v>
      </c>
      <c r="Q46" s="2" t="s">
        <v>179</v>
      </c>
    </row>
    <row r="47" spans="2:17" ht="15" customHeight="1" outlineLevel="1">
      <c r="B47" s="2" t="s">
        <v>183</v>
      </c>
      <c r="C47" s="2" t="s">
        <v>183</v>
      </c>
      <c r="D47" s="2" t="s">
        <v>215</v>
      </c>
      <c r="E47" s="9">
        <v>0</v>
      </c>
      <c r="F47" s="9">
        <f>IFERROR(Materials!G47-Materials!E47,"")</f>
        <v>0</v>
      </c>
      <c r="G47" s="9">
        <v>0</v>
      </c>
      <c r="J47" s="9">
        <f>IFERROR(Materials!H47+Materials!I47,"")</f>
        <v>0</v>
      </c>
      <c r="K47" s="138"/>
      <c r="L47" s="9">
        <f>IFERROR(Materials!J47+Materials!K47,"")</f>
        <v>0</v>
      </c>
      <c r="M47" s="20">
        <f>IFERROR(IF(Materials!L47=0,0,Materials!H47/Materials!L47),"")</f>
        <v>0</v>
      </c>
      <c r="N47" s="9">
        <f>IFERROR(Materials!G47-Materials!L47,"")</f>
        <v>0</v>
      </c>
      <c r="O47" s="20">
        <f>IFERROR(IF(Materials!G47=0,0,Materials!N47/Materials!G47),"")</f>
        <v>0</v>
      </c>
      <c r="P47" s="2" t="s">
        <v>123</v>
      </c>
      <c r="Q47" s="2" t="s">
        <v>179</v>
      </c>
    </row>
    <row r="48" spans="2:17" ht="15" customHeight="1" outlineLevel="1">
      <c r="B48" s="2" t="s">
        <v>183</v>
      </c>
      <c r="C48" s="2" t="s">
        <v>183</v>
      </c>
      <c r="D48" s="2" t="s">
        <v>216</v>
      </c>
      <c r="E48" s="9">
        <v>0</v>
      </c>
      <c r="F48" s="9">
        <f>IFERROR(Materials!G48-Materials!E48,"")</f>
        <v>0</v>
      </c>
      <c r="G48" s="9">
        <v>0</v>
      </c>
      <c r="J48" s="9">
        <f>IFERROR(Materials!H48+Materials!I48,"")</f>
        <v>0</v>
      </c>
      <c r="K48" s="138"/>
      <c r="L48" s="9">
        <f>IFERROR(Materials!J48+Materials!K48,"")</f>
        <v>0</v>
      </c>
      <c r="M48" s="20">
        <f>IFERROR(IF(Materials!L48=0,0,Materials!H48/Materials!L48),"")</f>
        <v>0</v>
      </c>
      <c r="N48" s="9">
        <f>IFERROR(Materials!G48-Materials!L48,"")</f>
        <v>0</v>
      </c>
      <c r="O48" s="20">
        <f>IFERROR(IF(Materials!G48=0,0,Materials!N48/Materials!G48),"")</f>
        <v>0</v>
      </c>
      <c r="P48" s="2" t="s">
        <v>123</v>
      </c>
      <c r="Q48" s="2" t="s">
        <v>179</v>
      </c>
    </row>
    <row r="49" spans="2:17" ht="15" customHeight="1" outlineLevel="1">
      <c r="B49" s="2" t="s">
        <v>183</v>
      </c>
      <c r="C49" s="2" t="s">
        <v>183</v>
      </c>
      <c r="D49" s="2" t="s">
        <v>217</v>
      </c>
      <c r="E49" s="9">
        <v>0</v>
      </c>
      <c r="F49" s="9">
        <f>IFERROR(Materials!G49-Materials!E49,"")</f>
        <v>0</v>
      </c>
      <c r="G49" s="9">
        <v>0</v>
      </c>
      <c r="J49" s="9">
        <f>IFERROR(Materials!H49+Materials!I49,"")</f>
        <v>0</v>
      </c>
      <c r="K49" s="138"/>
      <c r="L49" s="9">
        <f>IFERROR(Materials!J49+Materials!K49,"")</f>
        <v>0</v>
      </c>
      <c r="M49" s="20">
        <f>IFERROR(IF(Materials!L49=0,0,Materials!H49/Materials!L49),"")</f>
        <v>0</v>
      </c>
      <c r="N49" s="9">
        <f>IFERROR(Materials!G49-Materials!L49,"")</f>
        <v>0</v>
      </c>
      <c r="O49" s="20">
        <f>IFERROR(IF(Materials!G49=0,0,Materials!N49/Materials!G49),"")</f>
        <v>0</v>
      </c>
      <c r="P49" s="2" t="s">
        <v>123</v>
      </c>
      <c r="Q49" s="2" t="s">
        <v>179</v>
      </c>
    </row>
    <row r="50" spans="2:17" ht="15" customHeight="1" outlineLevel="1">
      <c r="B50" s="2" t="s">
        <v>183</v>
      </c>
      <c r="C50" s="2" t="s">
        <v>183</v>
      </c>
      <c r="D50" s="2" t="s">
        <v>218</v>
      </c>
      <c r="E50" s="9">
        <v>0</v>
      </c>
      <c r="F50" s="9">
        <f>IFERROR(Materials!G50-Materials!E50,"")</f>
        <v>0</v>
      </c>
      <c r="G50" s="9">
        <v>0</v>
      </c>
      <c r="J50" s="9">
        <f>IFERROR(Materials!H50+Materials!I50,"")</f>
        <v>0</v>
      </c>
      <c r="K50" s="138"/>
      <c r="L50" s="9">
        <f>IFERROR(Materials!J50+Materials!K50,"")</f>
        <v>0</v>
      </c>
      <c r="M50" s="20">
        <f>IFERROR(IF(Materials!L50=0,0,Materials!H50/Materials!L50),"")</f>
        <v>0</v>
      </c>
      <c r="N50" s="9">
        <f>IFERROR(Materials!G50-Materials!L50,"")</f>
        <v>0</v>
      </c>
      <c r="O50" s="20">
        <f>IFERROR(IF(Materials!G50=0,0,Materials!N50/Materials!G50),"")</f>
        <v>0</v>
      </c>
      <c r="P50" s="2" t="s">
        <v>123</v>
      </c>
      <c r="Q50" s="2" t="s">
        <v>179</v>
      </c>
    </row>
    <row r="51" spans="2:17" ht="15" customHeight="1" outlineLevel="1">
      <c r="B51" s="2" t="s">
        <v>183</v>
      </c>
      <c r="C51" s="2" t="s">
        <v>183</v>
      </c>
      <c r="D51" s="2" t="s">
        <v>219</v>
      </c>
      <c r="E51" s="9">
        <v>0</v>
      </c>
      <c r="F51" s="9">
        <f>IFERROR(Materials!G51-Materials!E51,"")</f>
        <v>0</v>
      </c>
      <c r="G51" s="9">
        <v>0</v>
      </c>
      <c r="J51" s="9">
        <f>IFERROR(Materials!H51+Materials!I51,"")</f>
        <v>0</v>
      </c>
      <c r="K51" s="138"/>
      <c r="L51" s="9">
        <f>IFERROR(Materials!J51+Materials!K51,"")</f>
        <v>0</v>
      </c>
      <c r="M51" s="20">
        <f>IFERROR(IF(Materials!L51=0,0,Materials!H51/Materials!L51),"")</f>
        <v>0</v>
      </c>
      <c r="N51" s="9">
        <f>IFERROR(Materials!G51-Materials!L51,"")</f>
        <v>0</v>
      </c>
      <c r="O51" s="20">
        <f>IFERROR(IF(Materials!G51=0,0,Materials!N51/Materials!G51),"")</f>
        <v>0</v>
      </c>
      <c r="P51" s="2" t="s">
        <v>123</v>
      </c>
      <c r="Q51" s="2" t="s">
        <v>179</v>
      </c>
    </row>
    <row r="52" spans="2:17" ht="15" customHeight="1" outlineLevel="1">
      <c r="B52" s="2" t="s">
        <v>183</v>
      </c>
      <c r="C52" s="2" t="s">
        <v>183</v>
      </c>
      <c r="D52" s="2" t="s">
        <v>220</v>
      </c>
      <c r="E52" s="9">
        <v>733</v>
      </c>
      <c r="F52" s="9">
        <f>IFERROR(Materials!G52-Materials!E52,"")</f>
        <v>0</v>
      </c>
      <c r="G52" s="9">
        <v>733</v>
      </c>
      <c r="J52" s="9">
        <f>IFERROR(Materials!H52+Materials!I52,"")</f>
        <v>0</v>
      </c>
      <c r="K52" s="138"/>
      <c r="L52" s="9">
        <f>IFERROR(Materials!J52+Materials!K52,"")</f>
        <v>0</v>
      </c>
      <c r="M52" s="20">
        <f>IFERROR(IF(Materials!L52=0,0,Materials!H52/Materials!L52),"")</f>
        <v>0</v>
      </c>
      <c r="N52" s="9">
        <f>IFERROR(Materials!G52-Materials!L52,"")</f>
        <v>733</v>
      </c>
      <c r="O52" s="20">
        <f>IFERROR(IF(Materials!G52=0,0,Materials!N52/Materials!G52),"")</f>
        <v>1</v>
      </c>
      <c r="P52" s="2" t="s">
        <v>123</v>
      </c>
      <c r="Q52" s="2" t="s">
        <v>179</v>
      </c>
    </row>
    <row r="53" spans="2:17" ht="15" customHeight="1" outlineLevel="1">
      <c r="B53" s="2" t="s">
        <v>183</v>
      </c>
      <c r="C53" s="2" t="s">
        <v>183</v>
      </c>
      <c r="D53" s="2" t="s">
        <v>221</v>
      </c>
      <c r="E53" s="9">
        <v>0</v>
      </c>
      <c r="F53" s="9">
        <f>IFERROR(Materials!G53-Materials!E53,"")</f>
        <v>0</v>
      </c>
      <c r="G53" s="9">
        <v>0</v>
      </c>
      <c r="J53" s="9">
        <f>IFERROR(Materials!H53+Materials!I53,"")</f>
        <v>0</v>
      </c>
      <c r="K53" s="138"/>
      <c r="L53" s="9">
        <f>IFERROR(Materials!J53+Materials!K53,"")</f>
        <v>0</v>
      </c>
      <c r="M53" s="20">
        <f>IFERROR(IF(Materials!L53=0,0,Materials!H53/Materials!L53),"")</f>
        <v>0</v>
      </c>
      <c r="N53" s="9">
        <f>IFERROR(Materials!G53-Materials!L53,"")</f>
        <v>0</v>
      </c>
      <c r="O53" s="20">
        <f>IFERROR(IF(Materials!G53=0,0,Materials!N53/Materials!G53),"")</f>
        <v>0</v>
      </c>
      <c r="P53" s="2" t="s">
        <v>123</v>
      </c>
      <c r="Q53" s="2" t="s">
        <v>179</v>
      </c>
    </row>
    <row r="54" spans="2:17" ht="15" customHeight="1" outlineLevel="1">
      <c r="B54" s="2" t="s">
        <v>183</v>
      </c>
      <c r="C54" s="2" t="s">
        <v>183</v>
      </c>
      <c r="D54" s="2" t="s">
        <v>222</v>
      </c>
      <c r="E54" s="9">
        <v>0</v>
      </c>
      <c r="F54" s="9">
        <f>IFERROR(Materials!G54-Materials!E54,"")</f>
        <v>0</v>
      </c>
      <c r="G54" s="9">
        <v>0</v>
      </c>
      <c r="J54" s="9">
        <f>IFERROR(Materials!H54+Materials!I54,"")</f>
        <v>0</v>
      </c>
      <c r="K54" s="138"/>
      <c r="L54" s="9">
        <f>IFERROR(Materials!J54+Materials!K54,"")</f>
        <v>0</v>
      </c>
      <c r="M54" s="20">
        <f>IFERROR(IF(Materials!L54=0,0,Materials!H54/Materials!L54),"")</f>
        <v>0</v>
      </c>
      <c r="N54" s="9">
        <f>IFERROR(Materials!G54-Materials!L54,"")</f>
        <v>0</v>
      </c>
      <c r="O54" s="20">
        <f>IFERROR(IF(Materials!G54=0,0,Materials!N54/Materials!G54),"")</f>
        <v>0</v>
      </c>
      <c r="P54" s="2" t="s">
        <v>123</v>
      </c>
      <c r="Q54" s="2" t="s">
        <v>179</v>
      </c>
    </row>
    <row r="55" spans="2:17" ht="15" customHeight="1" outlineLevel="1">
      <c r="B55" s="2" t="s">
        <v>183</v>
      </c>
      <c r="C55" s="2" t="s">
        <v>183</v>
      </c>
      <c r="D55" s="2" t="s">
        <v>223</v>
      </c>
      <c r="E55" s="9">
        <v>21651</v>
      </c>
      <c r="F55" s="9">
        <f>IFERROR(Materials!G55-Materials!E55,"")</f>
        <v>0</v>
      </c>
      <c r="G55" s="9">
        <v>21651</v>
      </c>
      <c r="J55" s="9">
        <f>IFERROR(Materials!H55+Materials!I55,"")</f>
        <v>0</v>
      </c>
      <c r="K55" s="138"/>
      <c r="L55" s="9">
        <f>IFERROR(Materials!J55+Materials!K55,"")</f>
        <v>0</v>
      </c>
      <c r="M55" s="20">
        <f>IFERROR(IF(Materials!L55=0,0,Materials!H55/Materials!L55),"")</f>
        <v>0</v>
      </c>
      <c r="N55" s="9">
        <f>IFERROR(Materials!G55-Materials!L55,"")</f>
        <v>21651</v>
      </c>
      <c r="O55" s="20">
        <f>IFERROR(IF(Materials!G55=0,0,Materials!N55/Materials!G55),"")</f>
        <v>1</v>
      </c>
      <c r="P55" s="2" t="s">
        <v>123</v>
      </c>
      <c r="Q55" s="2" t="s">
        <v>179</v>
      </c>
    </row>
    <row r="56" spans="2:17" ht="15" customHeight="1" outlineLevel="1">
      <c r="B56" s="2" t="s">
        <v>183</v>
      </c>
      <c r="C56" s="2" t="s">
        <v>183</v>
      </c>
      <c r="D56" s="2" t="s">
        <v>224</v>
      </c>
      <c r="E56" s="9">
        <v>0</v>
      </c>
      <c r="F56" s="9">
        <f>IFERROR(Materials!G56-Materials!E56,"")</f>
        <v>0</v>
      </c>
      <c r="G56" s="9">
        <v>0</v>
      </c>
      <c r="J56" s="9">
        <f>IFERROR(Materials!H56+Materials!I56,"")</f>
        <v>0</v>
      </c>
      <c r="K56" s="138"/>
      <c r="L56" s="9">
        <f>IFERROR(Materials!J56+Materials!K56,"")</f>
        <v>0</v>
      </c>
      <c r="M56" s="20">
        <f>IFERROR(IF(Materials!L56=0,0,Materials!H56/Materials!L56),"")</f>
        <v>0</v>
      </c>
      <c r="N56" s="9">
        <f>IFERROR(Materials!G56-Materials!L56,"")</f>
        <v>0</v>
      </c>
      <c r="O56" s="20">
        <f>IFERROR(IF(Materials!G56=0,0,Materials!N56/Materials!G56),"")</f>
        <v>0</v>
      </c>
      <c r="P56" s="2" t="s">
        <v>123</v>
      </c>
      <c r="Q56" s="2" t="s">
        <v>179</v>
      </c>
    </row>
    <row r="57" spans="2:17" ht="15" customHeight="1" outlineLevel="1">
      <c r="B57" s="2" t="s">
        <v>183</v>
      </c>
      <c r="C57" s="2" t="s">
        <v>183</v>
      </c>
      <c r="D57" s="2" t="s">
        <v>225</v>
      </c>
      <c r="E57" s="9">
        <v>101</v>
      </c>
      <c r="F57" s="9">
        <f>IFERROR(Materials!G57-Materials!E57,"")</f>
        <v>0</v>
      </c>
      <c r="G57" s="9">
        <v>101</v>
      </c>
      <c r="J57" s="9">
        <f>IFERROR(Materials!H57+Materials!I57,"")</f>
        <v>0</v>
      </c>
      <c r="K57" s="138"/>
      <c r="L57" s="9">
        <f>IFERROR(Materials!J57+Materials!K57,"")</f>
        <v>0</v>
      </c>
      <c r="M57" s="20">
        <f>IFERROR(IF(Materials!L57=0,0,Materials!H57/Materials!L57),"")</f>
        <v>0</v>
      </c>
      <c r="N57" s="9">
        <f>IFERROR(Materials!G57-Materials!L57,"")</f>
        <v>101</v>
      </c>
      <c r="O57" s="20">
        <f>IFERROR(IF(Materials!G57=0,0,Materials!N57/Materials!G57),"")</f>
        <v>1</v>
      </c>
      <c r="P57" s="2" t="s">
        <v>123</v>
      </c>
      <c r="Q57" s="2" t="s">
        <v>179</v>
      </c>
    </row>
    <row r="58" spans="2:17" ht="15" customHeight="1" outlineLevel="1">
      <c r="B58" s="2" t="s">
        <v>183</v>
      </c>
      <c r="C58" s="2" t="s">
        <v>183</v>
      </c>
      <c r="D58" s="2" t="s">
        <v>226</v>
      </c>
      <c r="E58" s="9">
        <v>111640</v>
      </c>
      <c r="F58" s="9">
        <f>IFERROR(Materials!G58-Materials!E58,"")</f>
        <v>0</v>
      </c>
      <c r="G58" s="9">
        <v>111640</v>
      </c>
      <c r="J58" s="9">
        <f>IFERROR(Materials!H58+Materials!I58,"")</f>
        <v>0</v>
      </c>
      <c r="K58" s="138"/>
      <c r="L58" s="9">
        <f>IFERROR(Materials!J58+Materials!K58,"")</f>
        <v>0</v>
      </c>
      <c r="M58" s="20">
        <f>IFERROR(IF(Materials!L58=0,0,Materials!H58/Materials!L58),"")</f>
        <v>0</v>
      </c>
      <c r="N58" s="9">
        <f>IFERROR(Materials!G58-Materials!L58,"")</f>
        <v>111640</v>
      </c>
      <c r="O58" s="20">
        <f>IFERROR(IF(Materials!G58=0,0,Materials!N58/Materials!G58),"")</f>
        <v>1</v>
      </c>
      <c r="P58" s="2" t="s">
        <v>123</v>
      </c>
      <c r="Q58" s="2" t="s">
        <v>179</v>
      </c>
    </row>
    <row r="59" spans="2:17" ht="15" customHeight="1" outlineLevel="1">
      <c r="B59" s="2" t="s">
        <v>183</v>
      </c>
      <c r="C59" s="2" t="s">
        <v>183</v>
      </c>
      <c r="D59" s="2" t="s">
        <v>227</v>
      </c>
      <c r="E59" s="9">
        <v>180000</v>
      </c>
      <c r="F59" s="9">
        <f>IFERROR(Materials!G59-Materials!E59,"")</f>
        <v>-120000</v>
      </c>
      <c r="G59" s="9">
        <v>60000</v>
      </c>
      <c r="J59" s="9">
        <f>IFERROR(Materials!H59+Materials!I59,"")</f>
        <v>0</v>
      </c>
      <c r="K59" s="138"/>
      <c r="L59" s="9">
        <f>IFERROR(Materials!J59+Materials!K59,"")</f>
        <v>0</v>
      </c>
      <c r="M59" s="20">
        <f>IFERROR(IF(Materials!L59=0,0,Materials!H59/Materials!L59),"")</f>
        <v>0</v>
      </c>
      <c r="N59" s="9">
        <f>IFERROR(Materials!G59-Materials!L59,"")</f>
        <v>60000</v>
      </c>
      <c r="O59" s="20">
        <f>IFERROR(IF(Materials!G59=0,0,Materials!N59/Materials!G59),"")</f>
        <v>1</v>
      </c>
      <c r="P59" s="2" t="s">
        <v>123</v>
      </c>
      <c r="Q59" s="2" t="s">
        <v>179</v>
      </c>
    </row>
    <row r="60" spans="2:17" ht="15" customHeight="1" outlineLevel="1">
      <c r="B60" s="2" t="s">
        <v>183</v>
      </c>
      <c r="C60" s="2" t="s">
        <v>183</v>
      </c>
      <c r="D60" s="2" t="s">
        <v>228</v>
      </c>
      <c r="E60" s="9">
        <v>0</v>
      </c>
      <c r="F60" s="9">
        <f>IFERROR(Materials!G60-Materials!E60,"")</f>
        <v>120000</v>
      </c>
      <c r="G60" s="9">
        <v>120000</v>
      </c>
      <c r="I60" s="9">
        <v>120000</v>
      </c>
      <c r="J60" s="9">
        <f>IFERROR(Materials!H60+Materials!I60,"")</f>
        <v>120000</v>
      </c>
      <c r="K60" s="138"/>
      <c r="L60" s="9">
        <f>IFERROR(Materials!J60+Materials!K60,"")</f>
        <v>120000</v>
      </c>
      <c r="M60" s="20">
        <f>IFERROR(IF(Materials!L60=0,0,Materials!H60/Materials!L60),"")</f>
        <v>0</v>
      </c>
      <c r="N60" s="9">
        <f>IFERROR(Materials!G60-Materials!L60,"")</f>
        <v>0</v>
      </c>
      <c r="O60" s="20">
        <f>IFERROR(IF(Materials!G60=0,0,Materials!N60/Materials!G60),"")</f>
        <v>0</v>
      </c>
      <c r="P60" s="2" t="s">
        <v>123</v>
      </c>
      <c r="Q60" s="2" t="s">
        <v>179</v>
      </c>
    </row>
    <row r="61" spans="2:17" ht="15" customHeight="1" outlineLevel="1">
      <c r="B61" s="2" t="s">
        <v>183</v>
      </c>
      <c r="C61" s="2" t="s">
        <v>183</v>
      </c>
      <c r="D61" s="2" t="s">
        <v>229</v>
      </c>
      <c r="E61" s="9">
        <v>0</v>
      </c>
      <c r="F61" s="9">
        <f>IFERROR(Materials!G61-Materials!E61,"")</f>
        <v>0</v>
      </c>
      <c r="G61" s="9">
        <v>0</v>
      </c>
      <c r="J61" s="9">
        <f>IFERROR(Materials!H61+Materials!I61,"")</f>
        <v>0</v>
      </c>
      <c r="K61" s="138"/>
      <c r="L61" s="9">
        <f>IFERROR(Materials!J61+Materials!K61,"")</f>
        <v>0</v>
      </c>
      <c r="M61" s="20">
        <f>IFERROR(IF(Materials!L61=0,0,Materials!H61/Materials!L61),"")</f>
        <v>0</v>
      </c>
      <c r="N61" s="9">
        <f>IFERROR(Materials!G61-Materials!L61,"")</f>
        <v>0</v>
      </c>
      <c r="O61" s="20">
        <f>IFERROR(IF(Materials!G61=0,0,Materials!N61/Materials!G61),"")</f>
        <v>0</v>
      </c>
      <c r="P61" s="2" t="s">
        <v>123</v>
      </c>
      <c r="Q61" s="2" t="s">
        <v>179</v>
      </c>
    </row>
    <row r="62" spans="2:17" ht="15" customHeight="1" outlineLevel="1">
      <c r="B62" s="2" t="s">
        <v>183</v>
      </c>
      <c r="C62" s="2" t="s">
        <v>183</v>
      </c>
      <c r="D62" s="2" t="s">
        <v>230</v>
      </c>
      <c r="E62" s="9">
        <v>0</v>
      </c>
      <c r="F62" s="9">
        <f>IFERROR(Materials!G62-Materials!E62,"")</f>
        <v>0</v>
      </c>
      <c r="G62" s="9">
        <v>0</v>
      </c>
      <c r="J62" s="9">
        <f>IFERROR(Materials!H62+Materials!I62,"")</f>
        <v>0</v>
      </c>
      <c r="K62" s="138"/>
      <c r="L62" s="9">
        <f>IFERROR(Materials!J62+Materials!K62,"")</f>
        <v>0</v>
      </c>
      <c r="M62" s="20">
        <f>IFERROR(IF(Materials!L62=0,0,Materials!H62/Materials!L62),"")</f>
        <v>0</v>
      </c>
      <c r="N62" s="9">
        <f>IFERROR(Materials!G62-Materials!L62,"")</f>
        <v>0</v>
      </c>
      <c r="O62" s="20">
        <f>IFERROR(IF(Materials!G62=0,0,Materials!N62/Materials!G62),"")</f>
        <v>0</v>
      </c>
      <c r="P62" s="2" t="s">
        <v>123</v>
      </c>
      <c r="Q62" s="2" t="s">
        <v>179</v>
      </c>
    </row>
    <row r="63" spans="2:17" ht="15" customHeight="1" outlineLevel="1">
      <c r="B63" s="2" t="s">
        <v>183</v>
      </c>
      <c r="C63" s="2" t="s">
        <v>183</v>
      </c>
      <c r="D63" s="2" t="s">
        <v>231</v>
      </c>
      <c r="E63" s="9">
        <v>0</v>
      </c>
      <c r="F63" s="9">
        <f>IFERROR(Materials!G63-Materials!E63,"")</f>
        <v>0</v>
      </c>
      <c r="G63" s="9">
        <v>0</v>
      </c>
      <c r="J63" s="9">
        <f>IFERROR(Materials!H63+Materials!I63,"")</f>
        <v>0</v>
      </c>
      <c r="K63" s="138"/>
      <c r="L63" s="9">
        <f>IFERROR(Materials!J63+Materials!K63,"")</f>
        <v>0</v>
      </c>
      <c r="M63" s="20">
        <f>IFERROR(IF(Materials!L63=0,0,Materials!H63/Materials!L63),"")</f>
        <v>0</v>
      </c>
      <c r="N63" s="9">
        <f>IFERROR(Materials!G63-Materials!L63,"")</f>
        <v>0</v>
      </c>
      <c r="O63" s="20">
        <f>IFERROR(IF(Materials!G63=0,0,Materials!N63/Materials!G63),"")</f>
        <v>0</v>
      </c>
      <c r="P63" s="2" t="s">
        <v>123</v>
      </c>
      <c r="Q63" s="2" t="s">
        <v>179</v>
      </c>
    </row>
    <row r="64" spans="2:17" ht="15" customHeight="1" outlineLevel="1">
      <c r="B64" s="2" t="s">
        <v>183</v>
      </c>
      <c r="C64" s="2" t="s">
        <v>183</v>
      </c>
      <c r="D64" s="2" t="s">
        <v>232</v>
      </c>
      <c r="E64" s="9">
        <v>2825</v>
      </c>
      <c r="F64" s="9">
        <f>IFERROR(Materials!G64-Materials!E64,"")</f>
        <v>0</v>
      </c>
      <c r="G64" s="9">
        <v>2825</v>
      </c>
      <c r="J64" s="9">
        <f>IFERROR(Materials!H64+Materials!I64,"")</f>
        <v>0</v>
      </c>
      <c r="K64" s="138"/>
      <c r="L64" s="9">
        <f>IFERROR(Materials!J64+Materials!K64,"")</f>
        <v>0</v>
      </c>
      <c r="M64" s="20">
        <f>IFERROR(IF(Materials!L64=0,0,Materials!H64/Materials!L64),"")</f>
        <v>0</v>
      </c>
      <c r="N64" s="9">
        <f>IFERROR(Materials!G64-Materials!L64,"")</f>
        <v>2825</v>
      </c>
      <c r="O64" s="20">
        <f>IFERROR(IF(Materials!G64=0,0,Materials!N64/Materials!G64),"")</f>
        <v>1</v>
      </c>
      <c r="P64" s="2" t="s">
        <v>123</v>
      </c>
      <c r="Q64" s="2" t="s">
        <v>179</v>
      </c>
    </row>
    <row r="65" spans="2:17" ht="15" customHeight="1" outlineLevel="1">
      <c r="B65" s="2" t="s">
        <v>183</v>
      </c>
      <c r="C65" s="2" t="s">
        <v>183</v>
      </c>
      <c r="D65" s="2" t="s">
        <v>233</v>
      </c>
      <c r="E65" s="9">
        <v>5726</v>
      </c>
      <c r="F65" s="9">
        <f>IFERROR(Materials!G65-Materials!E65,"")</f>
        <v>0</v>
      </c>
      <c r="G65" s="9">
        <v>5726</v>
      </c>
      <c r="J65" s="9">
        <f>IFERROR(Materials!H65+Materials!I65,"")</f>
        <v>0</v>
      </c>
      <c r="K65" s="138"/>
      <c r="L65" s="9">
        <f>IFERROR(Materials!J65+Materials!K65,"")</f>
        <v>0</v>
      </c>
      <c r="M65" s="20">
        <f>IFERROR(IF(Materials!L65=0,0,Materials!H65/Materials!L65),"")</f>
        <v>0</v>
      </c>
      <c r="N65" s="9">
        <f>IFERROR(Materials!G65-Materials!L65,"")</f>
        <v>5726</v>
      </c>
      <c r="O65" s="20">
        <f>IFERROR(IF(Materials!G65=0,0,Materials!N65/Materials!G65),"")</f>
        <v>1</v>
      </c>
      <c r="P65" s="2" t="s">
        <v>123</v>
      </c>
      <c r="Q65" s="2" t="s">
        <v>179</v>
      </c>
    </row>
    <row r="66" spans="2:17" ht="15" customHeight="1" outlineLevel="1">
      <c r="B66" s="2" t="s">
        <v>183</v>
      </c>
      <c r="C66" s="2" t="s">
        <v>183</v>
      </c>
      <c r="D66" s="2" t="s">
        <v>234</v>
      </c>
      <c r="E66" s="9">
        <v>0</v>
      </c>
      <c r="F66" s="9">
        <f>IFERROR(Materials!G66-Materials!E66,"")</f>
        <v>0</v>
      </c>
      <c r="G66" s="9">
        <v>0</v>
      </c>
      <c r="J66" s="9">
        <f>IFERROR(Materials!H66+Materials!I66,"")</f>
        <v>0</v>
      </c>
      <c r="K66" s="138"/>
      <c r="L66" s="9">
        <f>IFERROR(Materials!J66+Materials!K66,"")</f>
        <v>0</v>
      </c>
      <c r="M66" s="20">
        <f>IFERROR(IF(Materials!L66=0,0,Materials!H66/Materials!L66),"")</f>
        <v>0</v>
      </c>
      <c r="N66" s="9">
        <f>IFERROR(Materials!G66-Materials!L66,"")</f>
        <v>0</v>
      </c>
      <c r="O66" s="20">
        <f>IFERROR(IF(Materials!G66=0,0,Materials!N66/Materials!G66),"")</f>
        <v>0</v>
      </c>
      <c r="P66" s="2" t="s">
        <v>123</v>
      </c>
      <c r="Q66" s="2" t="s">
        <v>179</v>
      </c>
    </row>
    <row r="67" spans="2:17" ht="15" customHeight="1" outlineLevel="1">
      <c r="B67" s="2" t="s">
        <v>183</v>
      </c>
      <c r="C67" s="2" t="s">
        <v>183</v>
      </c>
      <c r="D67" s="2" t="s">
        <v>235</v>
      </c>
      <c r="E67" s="9">
        <v>10000</v>
      </c>
      <c r="F67" s="9">
        <f>IFERROR(Materials!G67-Materials!E67,"")</f>
        <v>0</v>
      </c>
      <c r="G67" s="9">
        <v>10000</v>
      </c>
      <c r="J67" s="9">
        <f>IFERROR(Materials!H67+Materials!I67,"")</f>
        <v>0</v>
      </c>
      <c r="K67" s="138"/>
      <c r="L67" s="9">
        <f>IFERROR(Materials!J67+Materials!K67,"")</f>
        <v>0</v>
      </c>
      <c r="M67" s="20">
        <f>IFERROR(IF(Materials!L67=0,0,Materials!H67/Materials!L67),"")</f>
        <v>0</v>
      </c>
      <c r="N67" s="9">
        <f>IFERROR(Materials!G67-Materials!L67,"")</f>
        <v>10000</v>
      </c>
      <c r="O67" s="20">
        <f>IFERROR(IF(Materials!G67=0,0,Materials!N67/Materials!G67),"")</f>
        <v>1</v>
      </c>
      <c r="P67" s="2" t="s">
        <v>123</v>
      </c>
      <c r="Q67" s="2" t="s">
        <v>179</v>
      </c>
    </row>
    <row r="68" spans="2:17" ht="15" customHeight="1" outlineLevel="1">
      <c r="B68" s="2" t="s">
        <v>183</v>
      </c>
      <c r="C68" s="2" t="s">
        <v>183</v>
      </c>
      <c r="D68" s="2" t="s">
        <v>236</v>
      </c>
      <c r="E68" s="9">
        <v>0</v>
      </c>
      <c r="F68" s="9">
        <f>IFERROR(Materials!G68-Materials!E68,"")</f>
        <v>0</v>
      </c>
      <c r="G68" s="9">
        <v>0</v>
      </c>
      <c r="J68" s="9">
        <f>IFERROR(Materials!H68+Materials!I68,"")</f>
        <v>0</v>
      </c>
      <c r="K68" s="138"/>
      <c r="L68" s="9">
        <f>IFERROR(Materials!J68+Materials!K68,"")</f>
        <v>0</v>
      </c>
      <c r="M68" s="20">
        <f>IFERROR(IF(Materials!L68=0,0,Materials!H68/Materials!L68),"")</f>
        <v>0</v>
      </c>
      <c r="N68" s="9">
        <f>IFERROR(Materials!G68-Materials!L68,"")</f>
        <v>0</v>
      </c>
      <c r="O68" s="20">
        <f>IFERROR(IF(Materials!G68=0,0,Materials!N68/Materials!G68),"")</f>
        <v>0</v>
      </c>
      <c r="P68" s="2" t="s">
        <v>123</v>
      </c>
      <c r="Q68" s="2" t="s">
        <v>179</v>
      </c>
    </row>
    <row r="69" spans="2:17" ht="15" customHeight="1" outlineLevel="1">
      <c r="B69" s="2" t="s">
        <v>183</v>
      </c>
      <c r="C69" s="2" t="s">
        <v>183</v>
      </c>
      <c r="D69" s="2" t="s">
        <v>237</v>
      </c>
      <c r="E69" s="9">
        <v>0</v>
      </c>
      <c r="F69" s="9">
        <f>IFERROR(Materials!G69-Materials!E69,"")</f>
        <v>0</v>
      </c>
      <c r="G69" s="9">
        <v>0</v>
      </c>
      <c r="J69" s="9">
        <f>IFERROR(Materials!H69+Materials!I69,"")</f>
        <v>0</v>
      </c>
      <c r="K69" s="138"/>
      <c r="L69" s="9">
        <f>IFERROR(Materials!J69+Materials!K69,"")</f>
        <v>0</v>
      </c>
      <c r="M69" s="20">
        <f>IFERROR(IF(Materials!L69=0,0,Materials!H69/Materials!L69),"")</f>
        <v>0</v>
      </c>
      <c r="N69" s="9">
        <f>IFERROR(Materials!G69-Materials!L69,"")</f>
        <v>0</v>
      </c>
      <c r="O69" s="20">
        <f>IFERROR(IF(Materials!G69=0,0,Materials!N69/Materials!G69),"")</f>
        <v>0</v>
      </c>
      <c r="P69" s="2" t="s">
        <v>123</v>
      </c>
      <c r="Q69" s="2" t="s">
        <v>179</v>
      </c>
    </row>
    <row r="70" spans="2:17" ht="15" customHeight="1">
      <c r="B70" s="123" t="s">
        <v>238</v>
      </c>
      <c r="C70" s="123" t="s">
        <v>85</v>
      </c>
      <c r="D70" s="123" t="s">
        <v>85</v>
      </c>
      <c r="E70" s="139">
        <f t="shared" ref="E70:N70" si="6">SUBTOTAL(9,E16:E69)</f>
        <v>631618</v>
      </c>
      <c r="F70" s="139">
        <f t="shared" si="6"/>
        <v>0</v>
      </c>
      <c r="G70" s="139">
        <f t="shared" si="6"/>
        <v>631618</v>
      </c>
      <c r="H70" s="139">
        <f t="shared" si="6"/>
        <v>146.1</v>
      </c>
      <c r="I70" s="139">
        <f t="shared" si="6"/>
        <v>125599.63</v>
      </c>
      <c r="J70" s="139">
        <f t="shared" si="6"/>
        <v>125745.73</v>
      </c>
      <c r="K70" s="140">
        <f t="shared" si="6"/>
        <v>43654.9</v>
      </c>
      <c r="L70" s="139">
        <f t="shared" si="6"/>
        <v>169400.63</v>
      </c>
      <c r="M70" s="100" t="s">
        <v>85</v>
      </c>
      <c r="N70" s="139">
        <f t="shared" si="6"/>
        <v>462217.37</v>
      </c>
      <c r="O70" s="100" t="s">
        <v>85</v>
      </c>
      <c r="P70" s="123" t="s">
        <v>85</v>
      </c>
      <c r="Q70" s="123" t="s">
        <v>85</v>
      </c>
    </row>
    <row r="71" spans="2:17" ht="15" customHeight="1" outlineLevel="1">
      <c r="B71" s="2" t="s">
        <v>239</v>
      </c>
      <c r="C71" s="2" t="s">
        <v>239</v>
      </c>
      <c r="D71" s="2" t="s">
        <v>184</v>
      </c>
      <c r="E71" s="9">
        <v>0</v>
      </c>
      <c r="F71" s="9">
        <f>IFERROR(Materials!G71-Materials!E71,"")</f>
        <v>0</v>
      </c>
      <c r="G71" s="9">
        <v>0</v>
      </c>
      <c r="J71" s="9">
        <f>IFERROR(Materials!H71+Materials!I71,"")</f>
        <v>0</v>
      </c>
      <c r="K71" s="138"/>
      <c r="L71" s="9">
        <f>IFERROR(Materials!J71+Materials!K71,"")</f>
        <v>0</v>
      </c>
      <c r="M71" s="20">
        <f>IFERROR(IF(Materials!L71=0,0,Materials!H71/Materials!L71),"")</f>
        <v>0</v>
      </c>
      <c r="N71" s="9">
        <f>IFERROR(Materials!G71-Materials!L71,"")</f>
        <v>0</v>
      </c>
      <c r="O71" s="20">
        <f>IFERROR(IF(Materials!G71=0,0,Materials!N71/Materials!G71),"")</f>
        <v>0</v>
      </c>
      <c r="P71" s="2" t="s">
        <v>123</v>
      </c>
      <c r="Q71" s="2" t="s">
        <v>179</v>
      </c>
    </row>
    <row r="72" spans="2:17" ht="15" customHeight="1" outlineLevel="1">
      <c r="B72" s="2" t="s">
        <v>239</v>
      </c>
      <c r="C72" s="2" t="s">
        <v>239</v>
      </c>
      <c r="D72" s="2" t="s">
        <v>240</v>
      </c>
      <c r="E72" s="9">
        <v>1200</v>
      </c>
      <c r="F72" s="9">
        <f>IFERROR(Materials!G72-Materials!E72,"")</f>
        <v>0</v>
      </c>
      <c r="G72" s="9">
        <v>1200</v>
      </c>
      <c r="J72" s="9">
        <f>IFERROR(Materials!H72+Materials!I72,"")</f>
        <v>0</v>
      </c>
      <c r="K72" s="138"/>
      <c r="L72" s="9">
        <f>IFERROR(Materials!J72+Materials!K72,"")</f>
        <v>0</v>
      </c>
      <c r="M72" s="20">
        <f>IFERROR(IF(Materials!L72=0,0,Materials!H72/Materials!L72),"")</f>
        <v>0</v>
      </c>
      <c r="N72" s="9">
        <f>IFERROR(Materials!G72-Materials!L72,"")</f>
        <v>1200</v>
      </c>
      <c r="O72" s="20">
        <f>IFERROR(IF(Materials!G72=0,0,Materials!N72/Materials!G72),"")</f>
        <v>1</v>
      </c>
      <c r="P72" s="2" t="s">
        <v>123</v>
      </c>
      <c r="Q72" s="2" t="s">
        <v>179</v>
      </c>
    </row>
    <row r="73" spans="2:17" ht="15" customHeight="1" outlineLevel="1">
      <c r="B73" s="2" t="s">
        <v>239</v>
      </c>
      <c r="C73" s="2" t="s">
        <v>239</v>
      </c>
      <c r="D73" s="2" t="s">
        <v>241</v>
      </c>
      <c r="E73" s="9">
        <v>0</v>
      </c>
      <c r="F73" s="9">
        <f>IFERROR(Materials!G73-Materials!E73,"")</f>
        <v>0</v>
      </c>
      <c r="G73" s="9">
        <v>0</v>
      </c>
      <c r="J73" s="9">
        <f>IFERROR(Materials!H73+Materials!I73,"")</f>
        <v>0</v>
      </c>
      <c r="K73" s="138"/>
      <c r="L73" s="9">
        <f>IFERROR(Materials!J73+Materials!K73,"")</f>
        <v>0</v>
      </c>
      <c r="M73" s="20">
        <f>IFERROR(IF(Materials!L73=0,0,Materials!H73/Materials!L73),"")</f>
        <v>0</v>
      </c>
      <c r="N73" s="9">
        <f>IFERROR(Materials!G73-Materials!L73,"")</f>
        <v>0</v>
      </c>
      <c r="O73" s="20">
        <f>IFERROR(IF(Materials!G73=0,0,Materials!N73/Materials!G73),"")</f>
        <v>0</v>
      </c>
      <c r="P73" s="2" t="s">
        <v>123</v>
      </c>
      <c r="Q73" s="2" t="s">
        <v>179</v>
      </c>
    </row>
    <row r="74" spans="2:17" ht="15" customHeight="1" outlineLevel="1">
      <c r="B74" s="2" t="s">
        <v>239</v>
      </c>
      <c r="C74" s="2" t="s">
        <v>239</v>
      </c>
      <c r="D74" s="2" t="s">
        <v>242</v>
      </c>
      <c r="E74" s="9">
        <v>0</v>
      </c>
      <c r="F74" s="9">
        <f>IFERROR(Materials!G74-Materials!E74,"")</f>
        <v>0</v>
      </c>
      <c r="G74" s="9">
        <v>0</v>
      </c>
      <c r="J74" s="9">
        <f>IFERROR(Materials!H74+Materials!I74,"")</f>
        <v>0</v>
      </c>
      <c r="K74" s="138"/>
      <c r="L74" s="9">
        <f>IFERROR(Materials!J74+Materials!K74,"")</f>
        <v>0</v>
      </c>
      <c r="M74" s="20">
        <f>IFERROR(IF(Materials!L74=0,0,Materials!H74/Materials!L74),"")</f>
        <v>0</v>
      </c>
      <c r="N74" s="9">
        <f>IFERROR(Materials!G74-Materials!L74,"")</f>
        <v>0</v>
      </c>
      <c r="O74" s="20">
        <f>IFERROR(IF(Materials!G74=0,0,Materials!N74/Materials!G74),"")</f>
        <v>0</v>
      </c>
      <c r="P74" s="2" t="s">
        <v>123</v>
      </c>
      <c r="Q74" s="2" t="s">
        <v>179</v>
      </c>
    </row>
    <row r="75" spans="2:17" ht="15" customHeight="1" outlineLevel="1">
      <c r="B75" s="2" t="s">
        <v>239</v>
      </c>
      <c r="C75" s="2" t="s">
        <v>239</v>
      </c>
      <c r="D75" s="2" t="s">
        <v>243</v>
      </c>
      <c r="E75" s="9">
        <v>39722</v>
      </c>
      <c r="F75" s="9">
        <f>IFERROR(Materials!G75-Materials!E75,"")</f>
        <v>0</v>
      </c>
      <c r="G75" s="9">
        <v>39722</v>
      </c>
      <c r="I75" s="9">
        <v>2444.16</v>
      </c>
      <c r="J75" s="9">
        <f>IFERROR(Materials!H75+Materials!I75,"")</f>
        <v>2444.16</v>
      </c>
      <c r="K75" s="138"/>
      <c r="L75" s="9">
        <f>IFERROR(Materials!J75+Materials!K75,"")</f>
        <v>2444.16</v>
      </c>
      <c r="M75" s="20">
        <f>IFERROR(IF(Materials!L75=0,0,Materials!H75/Materials!L75),"")</f>
        <v>0</v>
      </c>
      <c r="N75" s="9">
        <f>IFERROR(Materials!G75-Materials!L75,"")</f>
        <v>37277.839999999997</v>
      </c>
      <c r="O75" s="20">
        <f>IFERROR(IF(Materials!G75=0,0,Materials!N75/Materials!G75),"")</f>
        <v>0.93846835506772053</v>
      </c>
      <c r="P75" s="2" t="s">
        <v>123</v>
      </c>
      <c r="Q75" s="2" t="s">
        <v>179</v>
      </c>
    </row>
    <row r="76" spans="2:17" ht="15" customHeight="1" outlineLevel="1">
      <c r="B76" s="2" t="s">
        <v>239</v>
      </c>
      <c r="C76" s="2" t="s">
        <v>239</v>
      </c>
      <c r="D76" s="2" t="s">
        <v>244</v>
      </c>
      <c r="E76" s="9">
        <v>10000</v>
      </c>
      <c r="F76" s="9">
        <f>IFERROR(Materials!G76-Materials!E76,"")</f>
        <v>0</v>
      </c>
      <c r="G76" s="9">
        <v>10000</v>
      </c>
      <c r="J76" s="9">
        <f>IFERROR(Materials!H76+Materials!I76,"")</f>
        <v>0</v>
      </c>
      <c r="K76" s="138"/>
      <c r="L76" s="9">
        <f>IFERROR(Materials!J76+Materials!K76,"")</f>
        <v>0</v>
      </c>
      <c r="M76" s="20">
        <f>IFERROR(IF(Materials!L76=0,0,Materials!H76/Materials!L76),"")</f>
        <v>0</v>
      </c>
      <c r="N76" s="9">
        <f>IFERROR(Materials!G76-Materials!L76,"")</f>
        <v>10000</v>
      </c>
      <c r="O76" s="20">
        <f>IFERROR(IF(Materials!G76=0,0,Materials!N76/Materials!G76),"")</f>
        <v>1</v>
      </c>
      <c r="P76" s="2" t="s">
        <v>123</v>
      </c>
      <c r="Q76" s="2" t="s">
        <v>179</v>
      </c>
    </row>
    <row r="77" spans="2:17" ht="15" customHeight="1" outlineLevel="1">
      <c r="B77" s="2" t="s">
        <v>239</v>
      </c>
      <c r="C77" s="2" t="s">
        <v>239</v>
      </c>
      <c r="D77" s="2" t="s">
        <v>245</v>
      </c>
      <c r="E77" s="9">
        <v>0</v>
      </c>
      <c r="F77" s="9">
        <f>IFERROR(Materials!G77-Materials!E77,"")</f>
        <v>0</v>
      </c>
      <c r="G77" s="9">
        <v>0</v>
      </c>
      <c r="J77" s="9">
        <f>IFERROR(Materials!H77+Materials!I77,"")</f>
        <v>0</v>
      </c>
      <c r="K77" s="138"/>
      <c r="L77" s="9">
        <f>IFERROR(Materials!J77+Materials!K77,"")</f>
        <v>0</v>
      </c>
      <c r="M77" s="20">
        <f>IFERROR(IF(Materials!L77=0,0,Materials!H77/Materials!L77),"")</f>
        <v>0</v>
      </c>
      <c r="N77" s="9">
        <f>IFERROR(Materials!G77-Materials!L77,"")</f>
        <v>0</v>
      </c>
      <c r="O77" s="20">
        <f>IFERROR(IF(Materials!G77=0,0,Materials!N77/Materials!G77),"")</f>
        <v>0</v>
      </c>
      <c r="P77" s="2" t="s">
        <v>123</v>
      </c>
      <c r="Q77" s="2" t="s">
        <v>179</v>
      </c>
    </row>
    <row r="78" spans="2:17" ht="15" customHeight="1" outlineLevel="1">
      <c r="B78" s="2" t="s">
        <v>239</v>
      </c>
      <c r="C78" s="2" t="s">
        <v>239</v>
      </c>
      <c r="D78" s="2" t="s">
        <v>246</v>
      </c>
      <c r="E78" s="9">
        <v>500</v>
      </c>
      <c r="F78" s="9">
        <f>IFERROR(Materials!G78-Materials!E78,"")</f>
        <v>0</v>
      </c>
      <c r="G78" s="9">
        <v>500</v>
      </c>
      <c r="J78" s="9">
        <f>IFERROR(Materials!H78+Materials!I78,"")</f>
        <v>0</v>
      </c>
      <c r="K78" s="138"/>
      <c r="L78" s="9">
        <f>IFERROR(Materials!J78+Materials!K78,"")</f>
        <v>0</v>
      </c>
      <c r="M78" s="20">
        <f>IFERROR(IF(Materials!L78=0,0,Materials!H78/Materials!L78),"")</f>
        <v>0</v>
      </c>
      <c r="N78" s="9">
        <f>IFERROR(Materials!G78-Materials!L78,"")</f>
        <v>500</v>
      </c>
      <c r="O78" s="20">
        <f>IFERROR(IF(Materials!G78=0,0,Materials!N78/Materials!G78),"")</f>
        <v>1</v>
      </c>
      <c r="P78" s="2" t="s">
        <v>123</v>
      </c>
      <c r="Q78" s="2" t="s">
        <v>179</v>
      </c>
    </row>
    <row r="79" spans="2:17" ht="15" customHeight="1" outlineLevel="1">
      <c r="B79" s="2" t="s">
        <v>239</v>
      </c>
      <c r="C79" s="2" t="s">
        <v>239</v>
      </c>
      <c r="D79" s="2" t="s">
        <v>247</v>
      </c>
      <c r="E79" s="9">
        <v>0</v>
      </c>
      <c r="F79" s="9">
        <f>IFERROR(Materials!G79-Materials!E79,"")</f>
        <v>0</v>
      </c>
      <c r="G79" s="9">
        <v>0</v>
      </c>
      <c r="J79" s="9">
        <f>IFERROR(Materials!H79+Materials!I79,"")</f>
        <v>0</v>
      </c>
      <c r="K79" s="138"/>
      <c r="L79" s="9">
        <f>IFERROR(Materials!J79+Materials!K79,"")</f>
        <v>0</v>
      </c>
      <c r="M79" s="20">
        <f>IFERROR(IF(Materials!L79=0,0,Materials!H79/Materials!L79),"")</f>
        <v>0</v>
      </c>
      <c r="N79" s="9">
        <f>IFERROR(Materials!G79-Materials!L79,"")</f>
        <v>0</v>
      </c>
      <c r="O79" s="20">
        <f>IFERROR(IF(Materials!G79=0,0,Materials!N79/Materials!G79),"")</f>
        <v>0</v>
      </c>
      <c r="P79" s="2" t="s">
        <v>123</v>
      </c>
      <c r="Q79" s="2" t="s">
        <v>179</v>
      </c>
    </row>
    <row r="80" spans="2:17" ht="15" customHeight="1" outlineLevel="1">
      <c r="B80" s="2" t="s">
        <v>239</v>
      </c>
      <c r="C80" s="2" t="s">
        <v>239</v>
      </c>
      <c r="D80" s="2" t="s">
        <v>248</v>
      </c>
      <c r="E80" s="9">
        <v>0</v>
      </c>
      <c r="F80" s="9">
        <f>IFERROR(Materials!G80-Materials!E80,"")</f>
        <v>0</v>
      </c>
      <c r="G80" s="9">
        <v>0</v>
      </c>
      <c r="J80" s="9">
        <f>IFERROR(Materials!H80+Materials!I80,"")</f>
        <v>0</v>
      </c>
      <c r="K80" s="138"/>
      <c r="L80" s="9">
        <f>IFERROR(Materials!J80+Materials!K80,"")</f>
        <v>0</v>
      </c>
      <c r="M80" s="20">
        <f>IFERROR(IF(Materials!L80=0,0,Materials!H80/Materials!L80),"")</f>
        <v>0</v>
      </c>
      <c r="N80" s="9">
        <f>IFERROR(Materials!G80-Materials!L80,"")</f>
        <v>0</v>
      </c>
      <c r="O80" s="20">
        <f>IFERROR(IF(Materials!G80=0,0,Materials!N80/Materials!G80),"")</f>
        <v>0</v>
      </c>
      <c r="P80" s="2" t="s">
        <v>123</v>
      </c>
      <c r="Q80" s="2" t="s">
        <v>179</v>
      </c>
    </row>
    <row r="81" spans="2:17" ht="15" customHeight="1" outlineLevel="1">
      <c r="B81" s="2" t="s">
        <v>239</v>
      </c>
      <c r="C81" s="2" t="s">
        <v>239</v>
      </c>
      <c r="D81" s="2" t="s">
        <v>249</v>
      </c>
      <c r="E81" s="9">
        <v>0</v>
      </c>
      <c r="F81" s="9">
        <f>IFERROR(Materials!G81-Materials!E81,"")</f>
        <v>0</v>
      </c>
      <c r="G81" s="9">
        <v>0</v>
      </c>
      <c r="J81" s="9">
        <f>IFERROR(Materials!H81+Materials!I81,"")</f>
        <v>0</v>
      </c>
      <c r="K81" s="138"/>
      <c r="L81" s="9">
        <f>IFERROR(Materials!J81+Materials!K81,"")</f>
        <v>0</v>
      </c>
      <c r="M81" s="20">
        <f>IFERROR(IF(Materials!L81=0,0,Materials!H81/Materials!L81),"")</f>
        <v>0</v>
      </c>
      <c r="N81" s="9">
        <f>IFERROR(Materials!G81-Materials!L81,"")</f>
        <v>0</v>
      </c>
      <c r="O81" s="20">
        <f>IFERROR(IF(Materials!G81=0,0,Materials!N81/Materials!G81),"")</f>
        <v>0</v>
      </c>
      <c r="P81" s="2" t="s">
        <v>123</v>
      </c>
      <c r="Q81" s="2" t="s">
        <v>179</v>
      </c>
    </row>
    <row r="82" spans="2:17" ht="15" customHeight="1" outlineLevel="1">
      <c r="B82" s="2" t="s">
        <v>239</v>
      </c>
      <c r="C82" s="2" t="s">
        <v>239</v>
      </c>
      <c r="D82" s="2" t="s">
        <v>250</v>
      </c>
      <c r="E82" s="9">
        <v>54770</v>
      </c>
      <c r="F82" s="9">
        <f>IFERROR(Materials!G82-Materials!E82,"")</f>
        <v>0</v>
      </c>
      <c r="G82" s="9">
        <v>54770</v>
      </c>
      <c r="J82" s="9">
        <f>IFERROR(Materials!H82+Materials!I82,"")</f>
        <v>0</v>
      </c>
      <c r="K82" s="138"/>
      <c r="L82" s="9">
        <f>IFERROR(Materials!J82+Materials!K82,"")</f>
        <v>0</v>
      </c>
      <c r="M82" s="20">
        <f>IFERROR(IF(Materials!L82=0,0,Materials!H82/Materials!L82),"")</f>
        <v>0</v>
      </c>
      <c r="N82" s="9">
        <f>IFERROR(Materials!G82-Materials!L82,"")</f>
        <v>54770</v>
      </c>
      <c r="O82" s="20">
        <f>IFERROR(IF(Materials!G82=0,0,Materials!N82/Materials!G82),"")</f>
        <v>1</v>
      </c>
      <c r="P82" s="2" t="s">
        <v>123</v>
      </c>
      <c r="Q82" s="2" t="s">
        <v>179</v>
      </c>
    </row>
    <row r="83" spans="2:17" ht="15" customHeight="1" outlineLevel="1">
      <c r="B83" s="2" t="s">
        <v>239</v>
      </c>
      <c r="C83" s="2" t="s">
        <v>239</v>
      </c>
      <c r="D83" s="2" t="s">
        <v>251</v>
      </c>
      <c r="E83" s="9">
        <v>0</v>
      </c>
      <c r="F83" s="9">
        <f>IFERROR(Materials!G83-Materials!E83,"")</f>
        <v>0</v>
      </c>
      <c r="G83" s="9">
        <v>0</v>
      </c>
      <c r="J83" s="9">
        <f>IFERROR(Materials!H83+Materials!I83,"")</f>
        <v>0</v>
      </c>
      <c r="K83" s="138"/>
      <c r="L83" s="9">
        <f>IFERROR(Materials!J83+Materials!K83,"")</f>
        <v>0</v>
      </c>
      <c r="M83" s="20">
        <f>IFERROR(IF(Materials!L83=0,0,Materials!H83/Materials!L83),"")</f>
        <v>0</v>
      </c>
      <c r="N83" s="9">
        <f>IFERROR(Materials!G83-Materials!L83,"")</f>
        <v>0</v>
      </c>
      <c r="O83" s="20">
        <f>IFERROR(IF(Materials!G83=0,0,Materials!N83/Materials!G83),"")</f>
        <v>0</v>
      </c>
      <c r="P83" s="2" t="s">
        <v>123</v>
      </c>
      <c r="Q83" s="2" t="s">
        <v>179</v>
      </c>
    </row>
    <row r="84" spans="2:17" ht="15" customHeight="1" outlineLevel="1">
      <c r="B84" s="2" t="s">
        <v>239</v>
      </c>
      <c r="C84" s="2" t="s">
        <v>239</v>
      </c>
      <c r="D84" s="2" t="s">
        <v>252</v>
      </c>
      <c r="E84" s="9">
        <v>39948</v>
      </c>
      <c r="F84" s="9">
        <f>IFERROR(Materials!G84-Materials!E84,"")</f>
        <v>0</v>
      </c>
      <c r="G84" s="9">
        <v>39948</v>
      </c>
      <c r="J84" s="9">
        <f>IFERROR(Materials!H84+Materials!I84,"")</f>
        <v>0</v>
      </c>
      <c r="K84" s="138"/>
      <c r="L84" s="9">
        <f>IFERROR(Materials!J84+Materials!K84,"")</f>
        <v>0</v>
      </c>
      <c r="M84" s="20">
        <f>IFERROR(IF(Materials!L84=0,0,Materials!H84/Materials!L84),"")</f>
        <v>0</v>
      </c>
      <c r="N84" s="9">
        <f>IFERROR(Materials!G84-Materials!L84,"")</f>
        <v>39948</v>
      </c>
      <c r="O84" s="20">
        <f>IFERROR(IF(Materials!G84=0,0,Materials!N84/Materials!G84),"")</f>
        <v>1</v>
      </c>
      <c r="P84" s="2" t="s">
        <v>123</v>
      </c>
      <c r="Q84" s="2" t="s">
        <v>179</v>
      </c>
    </row>
    <row r="85" spans="2:17" ht="15" customHeight="1" outlineLevel="1">
      <c r="B85" s="2" t="s">
        <v>239</v>
      </c>
      <c r="C85" s="2" t="s">
        <v>239</v>
      </c>
      <c r="D85" s="2" t="s">
        <v>253</v>
      </c>
      <c r="E85" s="9">
        <v>1800</v>
      </c>
      <c r="F85" s="9">
        <f>IFERROR(Materials!G85-Materials!E85,"")</f>
        <v>0</v>
      </c>
      <c r="G85" s="9">
        <v>1800</v>
      </c>
      <c r="J85" s="9">
        <f>IFERROR(Materials!H85+Materials!I85,"")</f>
        <v>0</v>
      </c>
      <c r="K85" s="138"/>
      <c r="L85" s="9">
        <f>IFERROR(Materials!J85+Materials!K85,"")</f>
        <v>0</v>
      </c>
      <c r="M85" s="20">
        <f>IFERROR(IF(Materials!L85=0,0,Materials!H85/Materials!L85),"")</f>
        <v>0</v>
      </c>
      <c r="N85" s="9">
        <f>IFERROR(Materials!G85-Materials!L85,"")</f>
        <v>1800</v>
      </c>
      <c r="O85" s="20">
        <f>IFERROR(IF(Materials!G85=0,0,Materials!N85/Materials!G85),"")</f>
        <v>1</v>
      </c>
      <c r="P85" s="2" t="s">
        <v>123</v>
      </c>
      <c r="Q85" s="2" t="s">
        <v>179</v>
      </c>
    </row>
    <row r="86" spans="2:17" ht="15" customHeight="1" outlineLevel="1">
      <c r="B86" s="2" t="s">
        <v>239</v>
      </c>
      <c r="C86" s="2" t="s">
        <v>239</v>
      </c>
      <c r="D86" s="2" t="s">
        <v>254</v>
      </c>
      <c r="E86" s="9">
        <v>0</v>
      </c>
      <c r="F86" s="9">
        <f>IFERROR(Materials!G86-Materials!E86,"")</f>
        <v>0</v>
      </c>
      <c r="G86" s="9">
        <v>0</v>
      </c>
      <c r="J86" s="9">
        <f>IFERROR(Materials!H86+Materials!I86,"")</f>
        <v>0</v>
      </c>
      <c r="K86" s="138"/>
      <c r="L86" s="9">
        <f>IFERROR(Materials!J86+Materials!K86,"")</f>
        <v>0</v>
      </c>
      <c r="M86" s="20">
        <f>IFERROR(IF(Materials!L86=0,0,Materials!H86/Materials!L86),"")</f>
        <v>0</v>
      </c>
      <c r="N86" s="9">
        <f>IFERROR(Materials!G86-Materials!L86,"")</f>
        <v>0</v>
      </c>
      <c r="O86" s="20">
        <f>IFERROR(IF(Materials!G86=0,0,Materials!N86/Materials!G86),"")</f>
        <v>0</v>
      </c>
      <c r="P86" s="2" t="s">
        <v>123</v>
      </c>
      <c r="Q86" s="2" t="s">
        <v>179</v>
      </c>
    </row>
    <row r="87" spans="2:17" ht="15" customHeight="1" outlineLevel="1">
      <c r="B87" s="2" t="s">
        <v>239</v>
      </c>
      <c r="C87" s="2" t="s">
        <v>239</v>
      </c>
      <c r="D87" s="2" t="s">
        <v>255</v>
      </c>
      <c r="E87" s="9">
        <v>3300</v>
      </c>
      <c r="F87" s="9">
        <f>IFERROR(Materials!G87-Materials!E87,"")</f>
        <v>0</v>
      </c>
      <c r="G87" s="9">
        <v>3300</v>
      </c>
      <c r="J87" s="9">
        <f>IFERROR(Materials!H87+Materials!I87,"")</f>
        <v>0</v>
      </c>
      <c r="K87" s="138"/>
      <c r="L87" s="9">
        <f>IFERROR(Materials!J87+Materials!K87,"")</f>
        <v>0</v>
      </c>
      <c r="M87" s="20">
        <f>IFERROR(IF(Materials!L87=0,0,Materials!H87/Materials!L87),"")</f>
        <v>0</v>
      </c>
      <c r="N87" s="9">
        <f>IFERROR(Materials!G87-Materials!L87,"")</f>
        <v>3300</v>
      </c>
      <c r="O87" s="20">
        <f>IFERROR(IF(Materials!G87=0,0,Materials!N87/Materials!G87),"")</f>
        <v>1</v>
      </c>
      <c r="P87" s="2" t="s">
        <v>123</v>
      </c>
      <c r="Q87" s="2" t="s">
        <v>179</v>
      </c>
    </row>
    <row r="88" spans="2:17" ht="15" customHeight="1" outlineLevel="1">
      <c r="B88" s="2" t="s">
        <v>239</v>
      </c>
      <c r="C88" s="2" t="s">
        <v>239</v>
      </c>
      <c r="D88" s="2" t="s">
        <v>256</v>
      </c>
      <c r="E88" s="9">
        <v>5000</v>
      </c>
      <c r="F88" s="9">
        <f>IFERROR(Materials!G88-Materials!E88,"")</f>
        <v>0</v>
      </c>
      <c r="G88" s="9">
        <v>5000</v>
      </c>
      <c r="J88" s="9">
        <f>IFERROR(Materials!H88+Materials!I88,"")</f>
        <v>0</v>
      </c>
      <c r="K88" s="138"/>
      <c r="L88" s="9">
        <f>IFERROR(Materials!J88+Materials!K88,"")</f>
        <v>0</v>
      </c>
      <c r="M88" s="20">
        <f>IFERROR(IF(Materials!L88=0,0,Materials!H88/Materials!L88),"")</f>
        <v>0</v>
      </c>
      <c r="N88" s="9">
        <f>IFERROR(Materials!G88-Materials!L88,"")</f>
        <v>5000</v>
      </c>
      <c r="O88" s="20">
        <f>IFERROR(IF(Materials!G88=0,0,Materials!N88/Materials!G88),"")</f>
        <v>1</v>
      </c>
      <c r="P88" s="2" t="s">
        <v>123</v>
      </c>
      <c r="Q88" s="2" t="s">
        <v>179</v>
      </c>
    </row>
    <row r="89" spans="2:17" ht="15" customHeight="1" outlineLevel="1">
      <c r="B89" s="2" t="s">
        <v>239</v>
      </c>
      <c r="C89" s="2" t="s">
        <v>239</v>
      </c>
      <c r="D89" s="2" t="s">
        <v>257</v>
      </c>
      <c r="E89" s="9">
        <v>115000</v>
      </c>
      <c r="F89" s="9">
        <f>IFERROR(Materials!G89-Materials!E89,"")</f>
        <v>0</v>
      </c>
      <c r="G89" s="9">
        <v>115000</v>
      </c>
      <c r="J89" s="9">
        <f>IFERROR(Materials!H89+Materials!I89,"")</f>
        <v>0</v>
      </c>
      <c r="K89" s="138"/>
      <c r="L89" s="9">
        <f>IFERROR(Materials!J89+Materials!K89,"")</f>
        <v>0</v>
      </c>
      <c r="M89" s="20">
        <f>IFERROR(IF(Materials!L89=0,0,Materials!H89/Materials!L89),"")</f>
        <v>0</v>
      </c>
      <c r="N89" s="9">
        <f>IFERROR(Materials!G89-Materials!L89,"")</f>
        <v>115000</v>
      </c>
      <c r="O89" s="20">
        <f>IFERROR(IF(Materials!G89=0,0,Materials!N89/Materials!G89),"")</f>
        <v>1</v>
      </c>
      <c r="P89" s="2" t="s">
        <v>123</v>
      </c>
      <c r="Q89" s="2" t="s">
        <v>179</v>
      </c>
    </row>
    <row r="90" spans="2:17" ht="15" customHeight="1" outlineLevel="1">
      <c r="B90" s="2" t="s">
        <v>239</v>
      </c>
      <c r="C90" s="2" t="s">
        <v>239</v>
      </c>
      <c r="D90" s="2" t="s">
        <v>258</v>
      </c>
      <c r="E90" s="9">
        <v>10000</v>
      </c>
      <c r="F90" s="9">
        <f>IFERROR(Materials!G90-Materials!E90,"")</f>
        <v>0</v>
      </c>
      <c r="G90" s="9">
        <v>10000</v>
      </c>
      <c r="J90" s="9">
        <f>IFERROR(Materials!H90+Materials!I90,"")</f>
        <v>0</v>
      </c>
      <c r="K90" s="138"/>
      <c r="L90" s="9">
        <f>IFERROR(Materials!J90+Materials!K90,"")</f>
        <v>0</v>
      </c>
      <c r="M90" s="20">
        <f>IFERROR(IF(Materials!L90=0,0,Materials!H90/Materials!L90),"")</f>
        <v>0</v>
      </c>
      <c r="N90" s="9">
        <f>IFERROR(Materials!G90-Materials!L90,"")</f>
        <v>10000</v>
      </c>
      <c r="O90" s="20">
        <f>IFERROR(IF(Materials!G90=0,0,Materials!N90/Materials!G90),"")</f>
        <v>1</v>
      </c>
      <c r="P90" s="2" t="s">
        <v>123</v>
      </c>
      <c r="Q90" s="2" t="s">
        <v>179</v>
      </c>
    </row>
    <row r="91" spans="2:17" ht="15" customHeight="1" outlineLevel="1">
      <c r="B91" s="2" t="s">
        <v>239</v>
      </c>
      <c r="C91" s="2" t="s">
        <v>239</v>
      </c>
      <c r="D91" s="2" t="s">
        <v>237</v>
      </c>
      <c r="E91" s="9">
        <v>0</v>
      </c>
      <c r="F91" s="9">
        <f>IFERROR(Materials!G91-Materials!E91,"")</f>
        <v>0</v>
      </c>
      <c r="G91" s="9">
        <v>0</v>
      </c>
      <c r="J91" s="9">
        <f>IFERROR(Materials!H91+Materials!I91,"")</f>
        <v>0</v>
      </c>
      <c r="K91" s="138"/>
      <c r="L91" s="9">
        <f>IFERROR(Materials!J91+Materials!K91,"")</f>
        <v>0</v>
      </c>
      <c r="M91" s="20">
        <f>IFERROR(IF(Materials!L91=0,0,Materials!H91/Materials!L91),"")</f>
        <v>0</v>
      </c>
      <c r="N91" s="9">
        <f>IFERROR(Materials!G91-Materials!L91,"")</f>
        <v>0</v>
      </c>
      <c r="O91" s="20">
        <f>IFERROR(IF(Materials!G91=0,0,Materials!N91/Materials!G91),"")</f>
        <v>0</v>
      </c>
      <c r="P91" s="2" t="s">
        <v>123</v>
      </c>
      <c r="Q91" s="2" t="s">
        <v>179</v>
      </c>
    </row>
    <row r="92" spans="2:17" ht="15" customHeight="1">
      <c r="B92" s="123" t="s">
        <v>259</v>
      </c>
      <c r="C92" s="123" t="s">
        <v>85</v>
      </c>
      <c r="D92" s="123" t="s">
        <v>85</v>
      </c>
      <c r="E92" s="139">
        <f t="shared" ref="E92:N114" si="7">SUBTOTAL(9,E71:E91)</f>
        <v>281240</v>
      </c>
      <c r="F92" s="139">
        <f t="shared" si="7"/>
        <v>0</v>
      </c>
      <c r="G92" s="139">
        <f t="shared" si="7"/>
        <v>281240</v>
      </c>
      <c r="H92" s="139">
        <f t="shared" si="7"/>
        <v>0</v>
      </c>
      <c r="I92" s="139">
        <f t="shared" si="7"/>
        <v>2444.16</v>
      </c>
      <c r="J92" s="139">
        <f t="shared" si="7"/>
        <v>2444.16</v>
      </c>
      <c r="K92" s="140">
        <f t="shared" si="7"/>
        <v>0</v>
      </c>
      <c r="L92" s="139">
        <f t="shared" si="7"/>
        <v>2444.16</v>
      </c>
      <c r="M92" s="100" t="s">
        <v>85</v>
      </c>
      <c r="N92" s="139">
        <f t="shared" si="7"/>
        <v>278795.83999999997</v>
      </c>
      <c r="O92" s="100" t="s">
        <v>85</v>
      </c>
      <c r="P92" s="123" t="s">
        <v>85</v>
      </c>
      <c r="Q92" s="123" t="s">
        <v>85</v>
      </c>
    </row>
    <row r="93" spans="2:17" ht="15" customHeight="1" outlineLevel="1">
      <c r="B93" s="2" t="s">
        <v>260</v>
      </c>
      <c r="C93" s="2" t="s">
        <v>260</v>
      </c>
      <c r="D93" s="2" t="s">
        <v>261</v>
      </c>
      <c r="E93" s="9">
        <v>203000</v>
      </c>
      <c r="F93" s="9">
        <f>IFERROR(Materials!G93-Materials!E93,"")</f>
        <v>0</v>
      </c>
      <c r="G93" s="9">
        <v>203000</v>
      </c>
      <c r="I93" s="9">
        <v>203879</v>
      </c>
      <c r="J93" s="9">
        <f>IFERROR(Materials!H93+Materials!I93,"")</f>
        <v>203879</v>
      </c>
      <c r="K93" s="138"/>
      <c r="L93" s="9">
        <f>IFERROR(Materials!J93+Materials!K93,"")</f>
        <v>203879</v>
      </c>
      <c r="M93" s="20">
        <f>IFERROR(IF(Materials!L93=0,0,Materials!H93/Materials!L93),"")</f>
        <v>0</v>
      </c>
      <c r="N93" s="9">
        <f>IFERROR(Materials!G93-Materials!L93,"")</f>
        <v>-879</v>
      </c>
      <c r="O93" s="20">
        <f>IFERROR(IF(Materials!G93=0,0,Materials!N93/Materials!G93),"")</f>
        <v>-4.3300492610837439E-3</v>
      </c>
      <c r="P93" s="2" t="s">
        <v>123</v>
      </c>
      <c r="Q93" s="2" t="s">
        <v>179</v>
      </c>
    </row>
    <row r="94" spans="2:17" ht="15" customHeight="1" outlineLevel="1">
      <c r="B94" s="2" t="s">
        <v>260</v>
      </c>
      <c r="C94" s="2" t="s">
        <v>260</v>
      </c>
      <c r="D94" s="2" t="s">
        <v>262</v>
      </c>
      <c r="E94" s="9">
        <v>95900</v>
      </c>
      <c r="F94" s="9">
        <f>IFERROR(Materials!G94-Materials!E94,"")</f>
        <v>0</v>
      </c>
      <c r="G94" s="9">
        <v>95900</v>
      </c>
      <c r="I94" s="9">
        <v>95900</v>
      </c>
      <c r="J94" s="9">
        <f>IFERROR(Materials!H94+Materials!I94,"")</f>
        <v>95900</v>
      </c>
      <c r="K94" s="138"/>
      <c r="L94" s="9">
        <f>IFERROR(Materials!J94+Materials!K94,"")</f>
        <v>95900</v>
      </c>
      <c r="M94" s="20">
        <f>IFERROR(IF(Materials!L94=0,0,Materials!H94/Materials!L94),"")</f>
        <v>0</v>
      </c>
      <c r="N94" s="9">
        <f>IFERROR(Materials!G94-Materials!L94,"")</f>
        <v>0</v>
      </c>
      <c r="O94" s="20">
        <f>IFERROR(IF(Materials!G94=0,0,Materials!N94/Materials!G94),"")</f>
        <v>0</v>
      </c>
      <c r="P94" s="2" t="s">
        <v>123</v>
      </c>
      <c r="Q94" s="2" t="s">
        <v>179</v>
      </c>
    </row>
    <row r="95" spans="2:17" ht="15" customHeight="1" outlineLevel="1">
      <c r="B95" s="2" t="s">
        <v>260</v>
      </c>
      <c r="C95" s="2" t="s">
        <v>260</v>
      </c>
      <c r="D95" s="2" t="s">
        <v>263</v>
      </c>
      <c r="E95" s="9">
        <v>0</v>
      </c>
      <c r="F95" s="9">
        <f>IFERROR(Materials!G95-Materials!E95,"")</f>
        <v>0</v>
      </c>
      <c r="G95" s="9">
        <v>0</v>
      </c>
      <c r="J95" s="9">
        <f>IFERROR(Materials!H95+Materials!I95,"")</f>
        <v>0</v>
      </c>
      <c r="K95" s="138"/>
      <c r="L95" s="9">
        <f>IFERROR(Materials!J95+Materials!K95,"")</f>
        <v>0</v>
      </c>
      <c r="M95" s="20">
        <f>IFERROR(IF(Materials!L95=0,0,Materials!H95/Materials!L95),"")</f>
        <v>0</v>
      </c>
      <c r="N95" s="9">
        <f>IFERROR(Materials!G95-Materials!L95,"")</f>
        <v>0</v>
      </c>
      <c r="O95" s="20">
        <f>IFERROR(IF(Materials!G95=0,0,Materials!N95/Materials!G95),"")</f>
        <v>0</v>
      </c>
      <c r="P95" s="2" t="s">
        <v>123</v>
      </c>
      <c r="Q95" s="2" t="s">
        <v>179</v>
      </c>
    </row>
    <row r="96" spans="2:17" ht="15" customHeight="1" outlineLevel="1">
      <c r="B96" s="2" t="s">
        <v>260</v>
      </c>
      <c r="C96" s="2" t="s">
        <v>260</v>
      </c>
      <c r="D96" s="2" t="s">
        <v>264</v>
      </c>
      <c r="E96" s="9">
        <v>39000</v>
      </c>
      <c r="F96" s="9">
        <f>IFERROR(Materials!G96-Materials!E96,"")</f>
        <v>0</v>
      </c>
      <c r="G96" s="9">
        <v>39000</v>
      </c>
      <c r="J96" s="9">
        <f>IFERROR(Materials!H96+Materials!I96,"")</f>
        <v>0</v>
      </c>
      <c r="K96" s="138"/>
      <c r="L96" s="9">
        <f>IFERROR(Materials!J96+Materials!K96,"")</f>
        <v>0</v>
      </c>
      <c r="M96" s="20">
        <f>IFERROR(IF(Materials!L96=0,0,Materials!H96/Materials!L96),"")</f>
        <v>0</v>
      </c>
      <c r="N96" s="9">
        <f>IFERROR(Materials!G96-Materials!L96,"")</f>
        <v>39000</v>
      </c>
      <c r="O96" s="20">
        <f>IFERROR(IF(Materials!G96=0,0,Materials!N96/Materials!G96),"")</f>
        <v>1</v>
      </c>
      <c r="P96" s="2" t="s">
        <v>123</v>
      </c>
      <c r="Q96" s="2" t="s">
        <v>179</v>
      </c>
    </row>
    <row r="97" spans="2:17" ht="15" customHeight="1" outlineLevel="1">
      <c r="B97" s="2" t="s">
        <v>260</v>
      </c>
      <c r="C97" s="2" t="s">
        <v>260</v>
      </c>
      <c r="D97" s="2" t="s">
        <v>265</v>
      </c>
      <c r="E97" s="9">
        <v>4086</v>
      </c>
      <c r="F97" s="9">
        <f>IFERROR(Materials!G97-Materials!E97,"")</f>
        <v>0</v>
      </c>
      <c r="G97" s="9">
        <v>4086</v>
      </c>
      <c r="J97" s="9">
        <f>IFERROR(Materials!H97+Materials!I97,"")</f>
        <v>0</v>
      </c>
      <c r="K97" s="138"/>
      <c r="L97" s="9">
        <f>IFERROR(Materials!J97+Materials!K97,"")</f>
        <v>0</v>
      </c>
      <c r="M97" s="20">
        <f>IFERROR(IF(Materials!L97=0,0,Materials!H97/Materials!L97),"")</f>
        <v>0</v>
      </c>
      <c r="N97" s="9">
        <f>IFERROR(Materials!G97-Materials!L97,"")</f>
        <v>4086</v>
      </c>
      <c r="O97" s="20">
        <f>IFERROR(IF(Materials!G97=0,0,Materials!N97/Materials!G97),"")</f>
        <v>1</v>
      </c>
      <c r="P97" s="2" t="s">
        <v>123</v>
      </c>
      <c r="Q97" s="2" t="s">
        <v>179</v>
      </c>
    </row>
    <row r="98" spans="2:17" ht="15" customHeight="1" outlineLevel="1">
      <c r="B98" s="2" t="s">
        <v>260</v>
      </c>
      <c r="C98" s="2" t="s">
        <v>260</v>
      </c>
      <c r="D98" s="2" t="s">
        <v>266</v>
      </c>
      <c r="E98" s="9">
        <v>0</v>
      </c>
      <c r="F98" s="9">
        <f>IFERROR(Materials!G98-Materials!E98,"")</f>
        <v>0</v>
      </c>
      <c r="G98" s="9">
        <v>0</v>
      </c>
      <c r="J98" s="9">
        <f>IFERROR(Materials!H98+Materials!I98,"")</f>
        <v>0</v>
      </c>
      <c r="K98" s="138"/>
      <c r="L98" s="9">
        <f>IFERROR(Materials!J98+Materials!K98,"")</f>
        <v>0</v>
      </c>
      <c r="M98" s="20">
        <f>IFERROR(IF(Materials!L98=0,0,Materials!H98/Materials!L98),"")</f>
        <v>0</v>
      </c>
      <c r="N98" s="9">
        <f>IFERROR(Materials!G98-Materials!L98,"")</f>
        <v>0</v>
      </c>
      <c r="O98" s="20">
        <f>IFERROR(IF(Materials!G98=0,0,Materials!N98/Materials!G98),"")</f>
        <v>0</v>
      </c>
      <c r="P98" s="2" t="s">
        <v>123</v>
      </c>
      <c r="Q98" s="2" t="s">
        <v>179</v>
      </c>
    </row>
    <row r="99" spans="2:17" ht="15" customHeight="1" outlineLevel="1">
      <c r="B99" s="2" t="s">
        <v>260</v>
      </c>
      <c r="C99" s="2" t="s">
        <v>260</v>
      </c>
      <c r="D99" s="2" t="s">
        <v>267</v>
      </c>
      <c r="E99" s="9">
        <v>0</v>
      </c>
      <c r="F99" s="9">
        <f>IFERROR(Materials!G99-Materials!E99,"")</f>
        <v>0</v>
      </c>
      <c r="G99" s="9">
        <v>0</v>
      </c>
      <c r="J99" s="9">
        <f>IFERROR(Materials!H99+Materials!I99,"")</f>
        <v>0</v>
      </c>
      <c r="K99" s="138"/>
      <c r="L99" s="9">
        <f>IFERROR(Materials!J99+Materials!K99,"")</f>
        <v>0</v>
      </c>
      <c r="M99" s="20">
        <f>IFERROR(IF(Materials!L99=0,0,Materials!H99/Materials!L99),"")</f>
        <v>0</v>
      </c>
      <c r="N99" s="9">
        <f>IFERROR(Materials!G99-Materials!L99,"")</f>
        <v>0</v>
      </c>
      <c r="O99" s="20">
        <f>IFERROR(IF(Materials!G99=0,0,Materials!N99/Materials!G99),"")</f>
        <v>0</v>
      </c>
      <c r="P99" s="2" t="s">
        <v>123</v>
      </c>
      <c r="Q99" s="2" t="s">
        <v>179</v>
      </c>
    </row>
    <row r="100" spans="2:17" ht="15" customHeight="1" outlineLevel="1">
      <c r="B100" s="2" t="s">
        <v>260</v>
      </c>
      <c r="C100" s="2" t="s">
        <v>260</v>
      </c>
      <c r="D100" s="2" t="s">
        <v>268</v>
      </c>
      <c r="E100" s="9">
        <v>0</v>
      </c>
      <c r="F100" s="9">
        <f>IFERROR(Materials!G100-Materials!E100,"")</f>
        <v>0</v>
      </c>
      <c r="G100" s="9">
        <v>0</v>
      </c>
      <c r="J100" s="9">
        <f>IFERROR(Materials!H100+Materials!I100,"")</f>
        <v>0</v>
      </c>
      <c r="K100" s="138"/>
      <c r="L100" s="9">
        <f>IFERROR(Materials!J100+Materials!K100,"")</f>
        <v>0</v>
      </c>
      <c r="M100" s="20">
        <f>IFERROR(IF(Materials!L100=0,0,Materials!H100/Materials!L100),"")</f>
        <v>0</v>
      </c>
      <c r="N100" s="9">
        <f>IFERROR(Materials!G100-Materials!L100,"")</f>
        <v>0</v>
      </c>
      <c r="O100" s="20">
        <f>IFERROR(IF(Materials!G100=0,0,Materials!N100/Materials!G100),"")</f>
        <v>0</v>
      </c>
      <c r="P100" s="2" t="s">
        <v>123</v>
      </c>
      <c r="Q100" s="2" t="s">
        <v>179</v>
      </c>
    </row>
    <row r="101" spans="2:17" ht="15" customHeight="1" outlineLevel="1">
      <c r="B101" s="2" t="s">
        <v>260</v>
      </c>
      <c r="C101" s="2" t="s">
        <v>260</v>
      </c>
      <c r="D101" s="2" t="s">
        <v>269</v>
      </c>
      <c r="E101" s="9">
        <v>0</v>
      </c>
      <c r="F101" s="9">
        <f>IFERROR(Materials!G101-Materials!E101,"")</f>
        <v>0</v>
      </c>
      <c r="G101" s="9">
        <v>0</v>
      </c>
      <c r="J101" s="9">
        <f>IFERROR(Materials!H101+Materials!I101,"")</f>
        <v>0</v>
      </c>
      <c r="K101" s="138"/>
      <c r="L101" s="9">
        <f>IFERROR(Materials!J101+Materials!K101,"")</f>
        <v>0</v>
      </c>
      <c r="M101" s="20">
        <f>IFERROR(IF(Materials!L101=0,0,Materials!H101/Materials!L101),"")</f>
        <v>0</v>
      </c>
      <c r="N101" s="9">
        <f>IFERROR(Materials!G101-Materials!L101,"")</f>
        <v>0</v>
      </c>
      <c r="O101" s="20">
        <f>IFERROR(IF(Materials!G101=0,0,Materials!N101/Materials!G101),"")</f>
        <v>0</v>
      </c>
      <c r="P101" s="2" t="s">
        <v>123</v>
      </c>
      <c r="Q101" s="2" t="s">
        <v>179</v>
      </c>
    </row>
    <row r="102" spans="2:17" ht="15" customHeight="1" outlineLevel="1">
      <c r="B102" s="2" t="s">
        <v>260</v>
      </c>
      <c r="C102" s="2" t="s">
        <v>260</v>
      </c>
      <c r="D102" s="2" t="s">
        <v>270</v>
      </c>
      <c r="E102" s="9">
        <v>0</v>
      </c>
      <c r="F102" s="9">
        <f>IFERROR(Materials!G102-Materials!E102,"")</f>
        <v>0</v>
      </c>
      <c r="G102" s="9">
        <v>0</v>
      </c>
      <c r="J102" s="9">
        <f>IFERROR(Materials!H102+Materials!I102,"")</f>
        <v>0</v>
      </c>
      <c r="K102" s="138"/>
      <c r="L102" s="9">
        <f>IFERROR(Materials!J102+Materials!K102,"")</f>
        <v>0</v>
      </c>
      <c r="M102" s="20">
        <f>IFERROR(IF(Materials!L102=0,0,Materials!H102/Materials!L102),"")</f>
        <v>0</v>
      </c>
      <c r="N102" s="9">
        <f>IFERROR(Materials!G102-Materials!L102,"")</f>
        <v>0</v>
      </c>
      <c r="O102" s="20">
        <f>IFERROR(IF(Materials!G102=0,0,Materials!N102/Materials!G102),"")</f>
        <v>0</v>
      </c>
      <c r="P102" s="2" t="s">
        <v>123</v>
      </c>
      <c r="Q102" s="2" t="s">
        <v>179</v>
      </c>
    </row>
    <row r="103" spans="2:17" ht="15" customHeight="1" outlineLevel="1">
      <c r="B103" s="2" t="s">
        <v>260</v>
      </c>
      <c r="C103" s="2" t="s">
        <v>260</v>
      </c>
      <c r="D103" s="2" t="s">
        <v>271</v>
      </c>
      <c r="E103" s="9">
        <v>0</v>
      </c>
      <c r="F103" s="9">
        <f>IFERROR(Materials!G103-Materials!E103,"")</f>
        <v>0</v>
      </c>
      <c r="G103" s="9">
        <v>0</v>
      </c>
      <c r="J103" s="9">
        <f>IFERROR(Materials!H103+Materials!I103,"")</f>
        <v>0</v>
      </c>
      <c r="K103" s="138"/>
      <c r="L103" s="9">
        <f>IFERROR(Materials!J103+Materials!K103,"")</f>
        <v>0</v>
      </c>
      <c r="M103" s="20">
        <f>IFERROR(IF(Materials!L103=0,0,Materials!H103/Materials!L103),"")</f>
        <v>0</v>
      </c>
      <c r="N103" s="9">
        <f>IFERROR(Materials!G103-Materials!L103,"")</f>
        <v>0</v>
      </c>
      <c r="O103" s="20">
        <f>IFERROR(IF(Materials!G103=0,0,Materials!N103/Materials!G103),"")</f>
        <v>0</v>
      </c>
      <c r="P103" s="2" t="s">
        <v>123</v>
      </c>
      <c r="Q103" s="2" t="s">
        <v>179</v>
      </c>
    </row>
    <row r="104" spans="2:17" ht="15" customHeight="1" outlineLevel="1">
      <c r="B104" s="2" t="s">
        <v>260</v>
      </c>
      <c r="C104" s="2" t="s">
        <v>260</v>
      </c>
      <c r="D104" s="2" t="s">
        <v>272</v>
      </c>
      <c r="E104" s="9">
        <v>52974</v>
      </c>
      <c r="F104" s="9">
        <f>IFERROR(Materials!G104-Materials!E104,"")</f>
        <v>0</v>
      </c>
      <c r="G104" s="9">
        <v>52974</v>
      </c>
      <c r="J104" s="9">
        <f>IFERROR(Materials!H104+Materials!I104,"")</f>
        <v>0</v>
      </c>
      <c r="K104" s="138"/>
      <c r="L104" s="9">
        <f>IFERROR(Materials!J104+Materials!K104,"")</f>
        <v>0</v>
      </c>
      <c r="M104" s="20">
        <f>IFERROR(IF(Materials!L104=0,0,Materials!H104/Materials!L104),"")</f>
        <v>0</v>
      </c>
      <c r="N104" s="9">
        <f>IFERROR(Materials!G104-Materials!L104,"")</f>
        <v>52974</v>
      </c>
      <c r="O104" s="20">
        <f>IFERROR(IF(Materials!G104=0,0,Materials!N104/Materials!G104),"")</f>
        <v>1</v>
      </c>
      <c r="P104" s="2" t="s">
        <v>123</v>
      </c>
      <c r="Q104" s="2" t="s">
        <v>179</v>
      </c>
    </row>
    <row r="105" spans="2:17" ht="15" customHeight="1" outlineLevel="1">
      <c r="B105" s="2" t="s">
        <v>260</v>
      </c>
      <c r="C105" s="2" t="s">
        <v>260</v>
      </c>
      <c r="D105" s="2" t="s">
        <v>273</v>
      </c>
      <c r="E105" s="9">
        <v>5500</v>
      </c>
      <c r="F105" s="9">
        <f>IFERROR(Materials!G105-Materials!E105,"")</f>
        <v>0</v>
      </c>
      <c r="G105" s="9">
        <v>5500</v>
      </c>
      <c r="J105" s="9">
        <f>IFERROR(Materials!H105+Materials!I105,"")</f>
        <v>0</v>
      </c>
      <c r="K105" s="138"/>
      <c r="L105" s="9">
        <f>IFERROR(Materials!J105+Materials!K105,"")</f>
        <v>0</v>
      </c>
      <c r="M105" s="20">
        <f>IFERROR(IF(Materials!L105=0,0,Materials!H105/Materials!L105),"")</f>
        <v>0</v>
      </c>
      <c r="N105" s="9">
        <f>IFERROR(Materials!G105-Materials!L105,"")</f>
        <v>5500</v>
      </c>
      <c r="O105" s="20">
        <f>IFERROR(IF(Materials!G105=0,0,Materials!N105/Materials!G105),"")</f>
        <v>1</v>
      </c>
      <c r="P105" s="2" t="s">
        <v>123</v>
      </c>
      <c r="Q105" s="2" t="s">
        <v>179</v>
      </c>
    </row>
    <row r="106" spans="2:17" ht="15" customHeight="1" outlineLevel="1">
      <c r="B106" s="2" t="s">
        <v>260</v>
      </c>
      <c r="C106" s="2" t="s">
        <v>260</v>
      </c>
      <c r="D106" s="2" t="s">
        <v>274</v>
      </c>
      <c r="E106" s="9">
        <v>6500</v>
      </c>
      <c r="F106" s="9">
        <f>IFERROR(Materials!G106-Materials!E106,"")</f>
        <v>0</v>
      </c>
      <c r="G106" s="9">
        <v>6500</v>
      </c>
      <c r="J106" s="9">
        <f>IFERROR(Materials!H106+Materials!I106,"")</f>
        <v>0</v>
      </c>
      <c r="K106" s="138"/>
      <c r="L106" s="9">
        <f>IFERROR(Materials!J106+Materials!K106,"")</f>
        <v>0</v>
      </c>
      <c r="M106" s="20">
        <f>IFERROR(IF(Materials!L106=0,0,Materials!H106/Materials!L106),"")</f>
        <v>0</v>
      </c>
      <c r="N106" s="9">
        <f>IFERROR(Materials!G106-Materials!L106,"")</f>
        <v>6500</v>
      </c>
      <c r="O106" s="20">
        <f>IFERROR(IF(Materials!G106=0,0,Materials!N106/Materials!G106),"")</f>
        <v>1</v>
      </c>
      <c r="P106" s="2" t="s">
        <v>123</v>
      </c>
      <c r="Q106" s="2" t="s">
        <v>179</v>
      </c>
    </row>
    <row r="107" spans="2:17" ht="15" customHeight="1" outlineLevel="1">
      <c r="B107" s="2" t="s">
        <v>260</v>
      </c>
      <c r="C107" s="2" t="s">
        <v>260</v>
      </c>
      <c r="D107" s="2" t="s">
        <v>275</v>
      </c>
      <c r="E107" s="9">
        <v>5000</v>
      </c>
      <c r="F107" s="9">
        <f>IFERROR(Materials!G107-Materials!E107,"")</f>
        <v>0</v>
      </c>
      <c r="G107" s="9">
        <v>5000</v>
      </c>
      <c r="I107" s="9">
        <v>4100</v>
      </c>
      <c r="J107" s="9">
        <f>IFERROR(Materials!H107+Materials!I107,"")</f>
        <v>4100</v>
      </c>
      <c r="K107" s="138"/>
      <c r="L107" s="9">
        <f>IFERROR(Materials!J107+Materials!K107,"")</f>
        <v>4100</v>
      </c>
      <c r="M107" s="20">
        <f>IFERROR(IF(Materials!L107=0,0,Materials!H107/Materials!L107),"")</f>
        <v>0</v>
      </c>
      <c r="N107" s="9">
        <f>IFERROR(Materials!G107-Materials!L107,"")</f>
        <v>900</v>
      </c>
      <c r="O107" s="20">
        <f>IFERROR(IF(Materials!G107=0,0,Materials!N107/Materials!G107),"")</f>
        <v>0.18</v>
      </c>
      <c r="P107" s="2" t="s">
        <v>123</v>
      </c>
      <c r="Q107" s="2" t="s">
        <v>179</v>
      </c>
    </row>
    <row r="108" spans="2:17" ht="15" customHeight="1" outlineLevel="1">
      <c r="B108" s="2" t="s">
        <v>260</v>
      </c>
      <c r="C108" s="2" t="s">
        <v>260</v>
      </c>
      <c r="D108" s="2" t="s">
        <v>276</v>
      </c>
      <c r="E108" s="9">
        <v>0</v>
      </c>
      <c r="F108" s="9">
        <f>IFERROR(Materials!G108-Materials!E108,"")</f>
        <v>0</v>
      </c>
      <c r="G108" s="9">
        <v>0</v>
      </c>
      <c r="J108" s="9">
        <f>IFERROR(Materials!H108+Materials!I108,"")</f>
        <v>0</v>
      </c>
      <c r="K108" s="138"/>
      <c r="L108" s="9">
        <f>IFERROR(Materials!J108+Materials!K108,"")</f>
        <v>0</v>
      </c>
      <c r="M108" s="20">
        <f>IFERROR(IF(Materials!L108=0,0,Materials!H108/Materials!L108),"")</f>
        <v>0</v>
      </c>
      <c r="N108" s="9">
        <f>IFERROR(Materials!G108-Materials!L108,"")</f>
        <v>0</v>
      </c>
      <c r="O108" s="20">
        <f>IFERROR(IF(Materials!G108=0,0,Materials!N108/Materials!G108),"")</f>
        <v>0</v>
      </c>
      <c r="P108" s="2" t="s">
        <v>123</v>
      </c>
      <c r="Q108" s="2" t="s">
        <v>179</v>
      </c>
    </row>
    <row r="109" spans="2:17" ht="15" customHeight="1" outlineLevel="1">
      <c r="B109" s="2" t="s">
        <v>260</v>
      </c>
      <c r="C109" s="2" t="s">
        <v>260</v>
      </c>
      <c r="D109" s="2" t="s">
        <v>277</v>
      </c>
      <c r="E109" s="9">
        <v>0</v>
      </c>
      <c r="F109" s="9">
        <f>IFERROR(Materials!G109-Materials!E109,"")</f>
        <v>0</v>
      </c>
      <c r="G109" s="9">
        <v>0</v>
      </c>
      <c r="J109" s="9">
        <f>IFERROR(Materials!H109+Materials!I109,"")</f>
        <v>0</v>
      </c>
      <c r="K109" s="138"/>
      <c r="L109" s="9">
        <f>IFERROR(Materials!J109+Materials!K109,"")</f>
        <v>0</v>
      </c>
      <c r="M109" s="20">
        <f>IFERROR(IF(Materials!L109=0,0,Materials!H109/Materials!L109),"")</f>
        <v>0</v>
      </c>
      <c r="N109" s="9">
        <f>IFERROR(Materials!G109-Materials!L109,"")</f>
        <v>0</v>
      </c>
      <c r="O109" s="20">
        <f>IFERROR(IF(Materials!G109=0,0,Materials!N109/Materials!G109),"")</f>
        <v>0</v>
      </c>
      <c r="P109" s="2" t="s">
        <v>123</v>
      </c>
      <c r="Q109" s="2" t="s">
        <v>179</v>
      </c>
    </row>
    <row r="110" spans="2:17" ht="15" customHeight="1" outlineLevel="1">
      <c r="B110" s="2" t="s">
        <v>260</v>
      </c>
      <c r="C110" s="2" t="s">
        <v>260</v>
      </c>
      <c r="D110" s="2" t="s">
        <v>278</v>
      </c>
      <c r="E110" s="9">
        <v>0</v>
      </c>
      <c r="F110" s="9">
        <f>IFERROR(Materials!G110-Materials!E110,"")</f>
        <v>0</v>
      </c>
      <c r="G110" s="9">
        <v>0</v>
      </c>
      <c r="J110" s="9">
        <f>IFERROR(Materials!H110+Materials!I110,"")</f>
        <v>0</v>
      </c>
      <c r="K110" s="138"/>
      <c r="L110" s="9">
        <f>IFERROR(Materials!J110+Materials!K110,"")</f>
        <v>0</v>
      </c>
      <c r="M110" s="20">
        <f>IFERROR(IF(Materials!L110=0,0,Materials!H110/Materials!L110),"")</f>
        <v>0</v>
      </c>
      <c r="N110" s="9">
        <f>IFERROR(Materials!G110-Materials!L110,"")</f>
        <v>0</v>
      </c>
      <c r="O110" s="20">
        <f>IFERROR(IF(Materials!G110=0,0,Materials!N110/Materials!G110),"")</f>
        <v>0</v>
      </c>
      <c r="P110" s="2" t="s">
        <v>123</v>
      </c>
      <c r="Q110" s="2" t="s">
        <v>179</v>
      </c>
    </row>
    <row r="111" spans="2:17" ht="15" customHeight="1" outlineLevel="1">
      <c r="B111" s="2" t="s">
        <v>260</v>
      </c>
      <c r="C111" s="2" t="s">
        <v>260</v>
      </c>
      <c r="D111" s="2" t="s">
        <v>279</v>
      </c>
      <c r="E111" s="9">
        <v>0</v>
      </c>
      <c r="F111" s="9">
        <f>IFERROR(Materials!G111-Materials!E111,"")</f>
        <v>0</v>
      </c>
      <c r="G111" s="9">
        <v>0</v>
      </c>
      <c r="J111" s="9">
        <f>IFERROR(Materials!H111+Materials!I111,"")</f>
        <v>0</v>
      </c>
      <c r="K111" s="138"/>
      <c r="L111" s="9">
        <f>IFERROR(Materials!J111+Materials!K111,"")</f>
        <v>0</v>
      </c>
      <c r="M111" s="20">
        <f>IFERROR(IF(Materials!L111=0,0,Materials!H111/Materials!L111),"")</f>
        <v>0</v>
      </c>
      <c r="N111" s="9">
        <f>IFERROR(Materials!G111-Materials!L111,"")</f>
        <v>0</v>
      </c>
      <c r="O111" s="20">
        <f>IFERROR(IF(Materials!G111=0,0,Materials!N111/Materials!G111),"")</f>
        <v>0</v>
      </c>
      <c r="P111" s="2" t="s">
        <v>123</v>
      </c>
      <c r="Q111" s="2" t="s">
        <v>179</v>
      </c>
    </row>
    <row r="112" spans="2:17" ht="15" customHeight="1" outlineLevel="1">
      <c r="B112" s="2" t="s">
        <v>260</v>
      </c>
      <c r="C112" s="2" t="s">
        <v>260</v>
      </c>
      <c r="D112" s="2" t="s">
        <v>280</v>
      </c>
      <c r="E112" s="9">
        <v>0</v>
      </c>
      <c r="F112" s="9">
        <f>IFERROR(Materials!G112-Materials!E112,"")</f>
        <v>0</v>
      </c>
      <c r="G112" s="9">
        <v>0</v>
      </c>
      <c r="J112" s="9">
        <f>IFERROR(Materials!H112+Materials!I112,"")</f>
        <v>0</v>
      </c>
      <c r="K112" s="138"/>
      <c r="L112" s="9">
        <f>IFERROR(Materials!J112+Materials!K112,"")</f>
        <v>0</v>
      </c>
      <c r="M112" s="20">
        <f>IFERROR(IF(Materials!L112=0,0,Materials!H112/Materials!L112),"")</f>
        <v>0</v>
      </c>
      <c r="N112" s="9">
        <f>IFERROR(Materials!G112-Materials!L112,"")</f>
        <v>0</v>
      </c>
      <c r="O112" s="20">
        <f>IFERROR(IF(Materials!G112=0,0,Materials!N112/Materials!G112),"")</f>
        <v>0</v>
      </c>
      <c r="P112" s="2" t="s">
        <v>123</v>
      </c>
      <c r="Q112" s="2" t="s">
        <v>179</v>
      </c>
    </row>
    <row r="113" spans="2:17" ht="15" customHeight="1" outlineLevel="1">
      <c r="B113" s="2" t="s">
        <v>260</v>
      </c>
      <c r="C113" s="2" t="s">
        <v>260</v>
      </c>
      <c r="D113" s="2" t="s">
        <v>281</v>
      </c>
      <c r="E113" s="9">
        <v>0</v>
      </c>
      <c r="F113" s="9">
        <f>IFERROR(Materials!G113-Materials!E113,"")</f>
        <v>0</v>
      </c>
      <c r="G113" s="9">
        <v>0</v>
      </c>
      <c r="J113" s="9">
        <f>IFERROR(Materials!H113+Materials!I113,"")</f>
        <v>0</v>
      </c>
      <c r="K113" s="138"/>
      <c r="L113" s="9">
        <f>IFERROR(Materials!J113+Materials!K113,"")</f>
        <v>0</v>
      </c>
      <c r="M113" s="20">
        <f>IFERROR(IF(Materials!L113=0,0,Materials!H113/Materials!L113),"")</f>
        <v>0</v>
      </c>
      <c r="N113" s="9">
        <f>IFERROR(Materials!G113-Materials!L113,"")</f>
        <v>0</v>
      </c>
      <c r="O113" s="20">
        <f>IFERROR(IF(Materials!G113=0,0,Materials!N113/Materials!G113),"")</f>
        <v>0</v>
      </c>
      <c r="P113" s="2" t="s">
        <v>123</v>
      </c>
      <c r="Q113" s="2" t="s">
        <v>179</v>
      </c>
    </row>
    <row r="114" spans="2:17" ht="15" customHeight="1">
      <c r="B114" s="123" t="s">
        <v>282</v>
      </c>
      <c r="C114" s="123" t="s">
        <v>85</v>
      </c>
      <c r="D114" s="123" t="s">
        <v>85</v>
      </c>
      <c r="E114" s="139">
        <f t="shared" si="7"/>
        <v>411960</v>
      </c>
      <c r="F114" s="139">
        <f t="shared" si="7"/>
        <v>0</v>
      </c>
      <c r="G114" s="139">
        <f t="shared" si="7"/>
        <v>411960</v>
      </c>
      <c r="H114" s="139">
        <f t="shared" si="7"/>
        <v>0</v>
      </c>
      <c r="I114" s="139">
        <f t="shared" si="7"/>
        <v>303879</v>
      </c>
      <c r="J114" s="139">
        <f t="shared" si="7"/>
        <v>303879</v>
      </c>
      <c r="K114" s="140">
        <f t="shared" si="7"/>
        <v>0</v>
      </c>
      <c r="L114" s="139">
        <f t="shared" si="7"/>
        <v>303879</v>
      </c>
      <c r="M114" s="100" t="s">
        <v>85</v>
      </c>
      <c r="N114" s="139">
        <f t="shared" si="7"/>
        <v>108081</v>
      </c>
      <c r="O114" s="100" t="s">
        <v>85</v>
      </c>
      <c r="P114" s="123" t="s">
        <v>85</v>
      </c>
      <c r="Q114" s="123" t="s">
        <v>85</v>
      </c>
    </row>
    <row r="115" spans="2:17" ht="15" customHeight="1" outlineLevel="1">
      <c r="B115" s="2" t="s">
        <v>283</v>
      </c>
      <c r="C115" s="2" t="s">
        <v>283</v>
      </c>
      <c r="D115" s="2" t="s">
        <v>284</v>
      </c>
      <c r="E115" s="9">
        <v>0</v>
      </c>
      <c r="F115" s="9">
        <f>IFERROR(Materials!G115-Materials!E115,"")</f>
        <v>0</v>
      </c>
      <c r="G115" s="9">
        <v>0</v>
      </c>
      <c r="J115" s="9">
        <f>IFERROR(Materials!H115+Materials!I115,"")</f>
        <v>0</v>
      </c>
      <c r="K115" s="138"/>
      <c r="L115" s="9">
        <f>IFERROR(Materials!J115+Materials!K115,"")</f>
        <v>0</v>
      </c>
      <c r="M115" s="20">
        <f>IFERROR(IF(Materials!L115=0,0,Materials!H115/Materials!L115),"")</f>
        <v>0</v>
      </c>
      <c r="N115" s="9">
        <f>IFERROR(Materials!G115-Materials!L115,"")</f>
        <v>0</v>
      </c>
      <c r="O115" s="20">
        <f>IFERROR(IF(Materials!G115=0,0,Materials!N115/Materials!G115),"")</f>
        <v>0</v>
      </c>
      <c r="P115" s="2" t="s">
        <v>123</v>
      </c>
      <c r="Q115" s="2" t="s">
        <v>179</v>
      </c>
    </row>
    <row r="116" spans="2:17" ht="15" customHeight="1">
      <c r="B116" s="123" t="s">
        <v>285</v>
      </c>
      <c r="C116" s="123" t="s">
        <v>85</v>
      </c>
      <c r="D116" s="123" t="s">
        <v>85</v>
      </c>
      <c r="E116" s="139">
        <f t="shared" ref="E116:N116" si="8">SUBTOTAL(9,E115)</f>
        <v>0</v>
      </c>
      <c r="F116" s="139">
        <f t="shared" si="8"/>
        <v>0</v>
      </c>
      <c r="G116" s="139">
        <f t="shared" si="8"/>
        <v>0</v>
      </c>
      <c r="H116" s="139">
        <f t="shared" si="8"/>
        <v>0</v>
      </c>
      <c r="I116" s="139">
        <f t="shared" si="8"/>
        <v>0</v>
      </c>
      <c r="J116" s="139">
        <f t="shared" si="8"/>
        <v>0</v>
      </c>
      <c r="K116" s="140">
        <f t="shared" si="8"/>
        <v>0</v>
      </c>
      <c r="L116" s="139">
        <f t="shared" si="8"/>
        <v>0</v>
      </c>
      <c r="M116" s="100" t="s">
        <v>85</v>
      </c>
      <c r="N116" s="139">
        <f t="shared" si="8"/>
        <v>0</v>
      </c>
      <c r="O116" s="100" t="s">
        <v>85</v>
      </c>
      <c r="P116" s="123" t="s">
        <v>85</v>
      </c>
      <c r="Q116" s="123" t="s">
        <v>85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D8F8-B257-11A5-6508-62F38F932088}">
  <dimension ref="A1:M8"/>
  <sheetViews>
    <sheetView workbookViewId="0"/>
  </sheetViews>
  <sheetFormatPr baseColWidth="10" defaultColWidth="8.83203125" defaultRowHeight="15" customHeight="1"/>
  <cols>
    <col min="1" max="26" width="12.1640625" customWidth="1"/>
  </cols>
  <sheetData>
    <row r="1" spans="1:13" ht="15" customHeight="1">
      <c r="A1" s="1"/>
    </row>
    <row r="3" spans="1:13" ht="15" customHeight="1">
      <c r="D3" s="2"/>
      <c r="E3" s="2"/>
      <c r="F3" s="2"/>
      <c r="G3" s="2"/>
      <c r="H3" s="2"/>
      <c r="I3" s="2"/>
      <c r="J3" s="2"/>
      <c r="K3" s="2"/>
    </row>
    <row r="4" spans="1:13" ht="15" customHeight="1">
      <c r="D4" s="1"/>
      <c r="E4" s="1"/>
      <c r="F4" s="1"/>
      <c r="G4" s="1"/>
      <c r="H4" s="1"/>
      <c r="I4" s="1"/>
      <c r="J4" s="1"/>
      <c r="K4" s="1"/>
    </row>
    <row r="5" spans="1:13" ht="15" customHeight="1">
      <c r="C5" s="2"/>
      <c r="G5" s="2"/>
    </row>
    <row r="6" spans="1:13" ht="15" customHeight="1">
      <c r="C6" s="2"/>
    </row>
    <row r="7" spans="1:13" ht="15" customHeight="1">
      <c r="B7" s="26" t="s">
        <v>286</v>
      </c>
      <c r="C7" s="26" t="s">
        <v>287</v>
      </c>
      <c r="D7" s="26" t="s">
        <v>288</v>
      </c>
      <c r="E7" s="26" t="s">
        <v>289</v>
      </c>
      <c r="F7" s="26" t="s">
        <v>290</v>
      </c>
      <c r="G7" s="26" t="s">
        <v>291</v>
      </c>
      <c r="H7" s="26" t="s">
        <v>292</v>
      </c>
      <c r="I7" s="26" t="s">
        <v>293</v>
      </c>
      <c r="J7" s="26" t="s">
        <v>294</v>
      </c>
      <c r="K7" s="26" t="s">
        <v>295</v>
      </c>
      <c r="M7" s="2"/>
    </row>
    <row r="8" spans="1:13" ht="15" customHeight="1">
      <c r="B8" s="2"/>
      <c r="C8" s="2"/>
      <c r="D8" s="2"/>
      <c r="E8" s="2"/>
      <c r="F8" s="2"/>
      <c r="G8" s="2"/>
      <c r="H8" s="2"/>
      <c r="I8" s="2"/>
      <c r="J8" s="2"/>
      <c r="K8" s="2"/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5CB8-3B7A-168E-0668-BF3A62F5A781}">
  <dimension ref="A1:AB21"/>
  <sheetViews>
    <sheetView workbookViewId="0">
      <selection activeCell="G20" sqref="G20"/>
    </sheetView>
  </sheetViews>
  <sheetFormatPr baseColWidth="10" defaultColWidth="8.83203125" defaultRowHeight="15" customHeight="1"/>
  <cols>
    <col min="1" max="1" width="12.1640625" customWidth="1"/>
    <col min="2" max="11" width="17.1640625" customWidth="1"/>
    <col min="12" max="33" width="12.1640625" customWidth="1"/>
  </cols>
  <sheetData>
    <row r="1" spans="1:28" ht="15" customHeight="1">
      <c r="A1" s="98" t="str">
        <f>'Labor Projection'!D3</f>
        <v>2025-12-31</v>
      </c>
    </row>
    <row r="4" spans="1:28" s="3" customFormat="1" ht="41.5" customHeight="1">
      <c r="B4" s="141" t="s">
        <v>296</v>
      </c>
      <c r="C4" s="141" t="s">
        <v>297</v>
      </c>
      <c r="D4" s="141" t="s">
        <v>4</v>
      </c>
      <c r="E4" s="141" t="s">
        <v>298</v>
      </c>
      <c r="F4" s="141" t="s">
        <v>299</v>
      </c>
      <c r="G4" s="141" t="s">
        <v>300</v>
      </c>
      <c r="H4" s="141" t="s">
        <v>301</v>
      </c>
      <c r="I4" s="141" t="s">
        <v>302</v>
      </c>
      <c r="J4" s="141" t="s">
        <v>303</v>
      </c>
      <c r="K4" s="141" t="s">
        <v>304</v>
      </c>
      <c r="L4" s="142" t="s">
        <v>305</v>
      </c>
      <c r="M4" s="142" t="s">
        <v>306</v>
      </c>
      <c r="N4" s="142" t="s">
        <v>307</v>
      </c>
      <c r="O4" s="141" t="s">
        <v>308</v>
      </c>
      <c r="P4" s="141" t="s">
        <v>309</v>
      </c>
      <c r="Q4" s="141" t="s">
        <v>310</v>
      </c>
      <c r="R4" s="141" t="s">
        <v>311</v>
      </c>
      <c r="S4" s="141" t="s">
        <v>312</v>
      </c>
      <c r="T4" s="141" t="s">
        <v>313</v>
      </c>
      <c r="U4" s="141" t="s">
        <v>314</v>
      </c>
      <c r="V4" s="141" t="s">
        <v>315</v>
      </c>
      <c r="W4" s="141" t="s">
        <v>316</v>
      </c>
      <c r="X4" s="141" t="s">
        <v>317</v>
      </c>
      <c r="Y4" s="141" t="s">
        <v>318</v>
      </c>
      <c r="Z4" s="141" t="s">
        <v>319</v>
      </c>
      <c r="AA4" s="141" t="s">
        <v>320</v>
      </c>
      <c r="AB4" s="141" t="s">
        <v>321</v>
      </c>
    </row>
    <row r="5" spans="1:28" ht="15" customHeight="1">
      <c r="B5" s="2" t="str">
        <f>IFERROR(Summary!$J$9,"0")</f>
        <v>643700</v>
      </c>
      <c r="C5" s="2">
        <f>IFERROR(Summary!$O$13,"0")</f>
        <v>0</v>
      </c>
      <c r="D5" s="2" t="str">
        <f>IFERROR(Summary!$J$10,"0")</f>
        <v>J RAMOS</v>
      </c>
      <c r="E5" s="2" t="str">
        <f>IFERROR(Sheet7!$A$1,0)</f>
        <v>2025-12-31</v>
      </c>
      <c r="F5" s="143">
        <f>IFERROR(IF(Summary!$J$36="none",0,Summary!$J$36),0)</f>
        <v>0</v>
      </c>
      <c r="G5" s="143">
        <f>IFERROR(IF(Summary!$K$36="none",0,Summary!$K$36),0)</f>
        <v>0</v>
      </c>
      <c r="H5" s="144">
        <f>IFERROR(IF(Summary!$J$38="none",0,Summary!$J$38),0)</f>
        <v>0</v>
      </c>
      <c r="I5" s="143">
        <f>IFERROR(IF(Summary!$J$37="none",0,Summary!$J$37),0)</f>
        <v>290</v>
      </c>
      <c r="J5" s="143">
        <f>IFERROR(IF(Summary!$K$37="none",0,Summary!$K$37),0)</f>
        <v>14990.099999999999</v>
      </c>
      <c r="K5" s="144">
        <f>IFERROR(IF(Summary!$J$38="none",0,Summary!$J$38),0)</f>
        <v>0</v>
      </c>
      <c r="L5" s="145">
        <f>IFERROR(IF(Summary!$K$38="none",0,Summary!$K$38),0)</f>
        <v>0</v>
      </c>
      <c r="M5" s="145">
        <f>IFERROR(IF(Summary!$J$43="none",0,Summary!$J$43),0)</f>
        <v>0</v>
      </c>
      <c r="N5" s="145">
        <f>IFERROR(IF(Summary!$J$41="none",0,Summary!$J$41),0)</f>
        <v>0.03</v>
      </c>
      <c r="O5" s="143">
        <f>IFERROR(IF(Summary!$F$30="none",0,Summary!$F$30),0)</f>
        <v>0</v>
      </c>
      <c r="P5" s="144">
        <f>IFERROR(IF(Summary!$F$31="none",0,Summary!$F$31),0)</f>
        <v>0</v>
      </c>
      <c r="Q5" s="143">
        <f>IFERROR(IF(Summary!$F$32="none",0,Summary!$F$32),0)</f>
        <v>0</v>
      </c>
      <c r="R5" s="143">
        <f>IFERROR(IF(Summary!$J$30="none",0,Summary!$J$30),0)</f>
        <v>0</v>
      </c>
      <c r="S5" s="143">
        <f>IFERROR(IF(Summary!$J$31="none",0,Summary!$J$31),0)</f>
        <v>24375.399999999994</v>
      </c>
      <c r="T5" s="143">
        <f>IFERROR(IF(Summary!$J$32="none",0,Summary!$J$32),0)</f>
        <v>0</v>
      </c>
      <c r="U5" s="144">
        <f>IFERROR(IF(Summary!$F$36="none",0,Summary!$F$36),0)</f>
        <v>0</v>
      </c>
      <c r="V5" s="144">
        <f>IFERROR(IF(Summary!$F$37="none",0,Summary!$F$37),0)</f>
        <v>51.69</v>
      </c>
      <c r="W5" s="144">
        <f>IFERROR(IF(Summary!$F$38="none",0,Summary!$F$38),0)</f>
        <v>0</v>
      </c>
      <c r="X5" s="144">
        <f>IFERROR(IF(Summary!$F$42="none",0,Summary!$F$42),0)</f>
        <v>0</v>
      </c>
      <c r="Y5" s="144">
        <f>IFERROR(IF(Summary!$F$43="none",0,Summary!$F$43),0)</f>
        <v>0</v>
      </c>
      <c r="Z5" s="144">
        <f>IFERROR(IF(Summary!$F$44="none",0,Summary!$F$44),0)</f>
        <v>0</v>
      </c>
      <c r="AA5" s="144">
        <f>IFERROR(IF(Summary!$F$45="none",0,Summary!$F$45),0)</f>
        <v>0</v>
      </c>
      <c r="AB5" s="144">
        <f>IFERROR(IF(Summary!$F$46="none",0,Summary!$F$46),0)</f>
        <v>0</v>
      </c>
    </row>
    <row r="7" spans="1:28" ht="15" customHeight="1">
      <c r="F7" s="2"/>
    </row>
    <row r="12" spans="1:28" ht="15" customHeight="1">
      <c r="I12" s="2"/>
    </row>
    <row r="17" spans="7:14" ht="15" customHeight="1">
      <c r="J17" s="2"/>
    </row>
    <row r="20" spans="7:14" ht="15" customHeight="1">
      <c r="G20" s="2"/>
      <c r="N20" s="2"/>
    </row>
    <row r="21" spans="7:14" ht="15" customHeight="1">
      <c r="H21" s="2"/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2497-6A38-1262-8838-1925A2FF92B2}">
  <dimension ref="B2:F3"/>
  <sheetViews>
    <sheetView workbookViewId="0">
      <selection activeCell="C3" sqref="C3:F14"/>
    </sheetView>
  </sheetViews>
  <sheetFormatPr baseColWidth="10" defaultColWidth="8.83203125" defaultRowHeight="15" customHeight="1"/>
  <cols>
    <col min="1" max="26" width="12.1640625" customWidth="1"/>
  </cols>
  <sheetData>
    <row r="2" spans="2:6" ht="15" customHeight="1">
      <c r="B2" s="112" t="s">
        <v>322</v>
      </c>
      <c r="C2" s="112" t="s">
        <v>298</v>
      </c>
      <c r="D2" s="112" t="s">
        <v>323</v>
      </c>
      <c r="E2" s="112" t="s">
        <v>324</v>
      </c>
      <c r="F2" s="112" t="s">
        <v>325</v>
      </c>
    </row>
    <row r="3" spans="2:6" ht="15" customHeight="1">
      <c r="B3" s="2"/>
      <c r="C3" s="2"/>
      <c r="D3" s="144"/>
      <c r="E3" s="144"/>
      <c r="F3" s="144"/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96</vt:i4>
      </vt:variant>
    </vt:vector>
  </HeadingPairs>
  <TitlesOfParts>
    <vt:vector size="104" baseType="lpstr">
      <vt:lpstr>Query</vt:lpstr>
      <vt:lpstr>Summary</vt:lpstr>
      <vt:lpstr>Manpower Projection</vt:lpstr>
      <vt:lpstr>Labor Projection</vt:lpstr>
      <vt:lpstr>Materials</vt:lpstr>
      <vt:lpstr>DATA</vt:lpstr>
      <vt:lpstr>Sheet7</vt:lpstr>
      <vt:lpstr>Labor Performance</vt:lpstr>
      <vt:lpstr>__Complete_Materials</vt:lpstr>
      <vt:lpstr>__Variance_Materials</vt:lpstr>
      <vt:lpstr>_Change_Order_Labor_Dollar_Est___Labor_Projection</vt:lpstr>
      <vt:lpstr>_Current_Labor_Dollar_Estimate__Labor_Projection</vt:lpstr>
      <vt:lpstr>_Current_Labor_Dollar_Estimate__NTPLH</vt:lpstr>
      <vt:lpstr>_Est____Hour__Labor_Projection</vt:lpstr>
      <vt:lpstr>_Est__Total_Labor__Labor_Projection</vt:lpstr>
      <vt:lpstr>_Est__Total_Labor__NTPLH</vt:lpstr>
      <vt:lpstr>_Est_Labor_to_Complete_Labor_Projection</vt:lpstr>
      <vt:lpstr>_Est_Labor_to_Complete_NTPLH</vt:lpstr>
      <vt:lpstr>_JTD____Hr__Labor_Projection</vt:lpstr>
      <vt:lpstr>_JTD_Labor_Cost__Labor_Projection</vt:lpstr>
      <vt:lpstr>_JTD_Labor_Cost__NTPLH</vt:lpstr>
      <vt:lpstr>_Original_Labor_Dollar_Est___Labor_Projection</vt:lpstr>
      <vt:lpstr>_Under____Over____Labor_Projection</vt:lpstr>
      <vt:lpstr>_Under____Over___Labor_Projection</vt:lpstr>
      <vt:lpstr>_Under____Over__Labor_Projection</vt:lpstr>
      <vt:lpstr>_Under__Over_NTPLH</vt:lpstr>
      <vt:lpstr>ABC_NTPLH</vt:lpstr>
      <vt:lpstr>Actual_Composite_rate_dashboard</vt:lpstr>
      <vt:lpstr>Actual_Gross_Margin_dashboard</vt:lpstr>
      <vt:lpstr>Actual_Manhour_dashboard</vt:lpstr>
      <vt:lpstr>AR_Aged_Current_dashboard</vt:lpstr>
      <vt:lpstr>ARAged130days_dashboard</vt:lpstr>
      <vt:lpstr>ARAged3160days_dashboard</vt:lpstr>
      <vt:lpstr>ARAged6190days_dashboard</vt:lpstr>
      <vt:lpstr>ARAgedover90days_dashboard</vt:lpstr>
      <vt:lpstr>Base_Hrs_to_Complete_Labor_Projection</vt:lpstr>
      <vt:lpstr>Base_Hrs_to_Complete_NTPLH</vt:lpstr>
      <vt:lpstr>bid_day_Labor_Performance_Factor_dashboard</vt:lpstr>
      <vt:lpstr>Bid_day_Labor_Performance_Factor_Labor_Performance</vt:lpstr>
      <vt:lpstr>Change_Order_Hours_Estimate_Labor_Projection</vt:lpstr>
      <vt:lpstr>Change_Order_Hours_Estimate_NTPLH</vt:lpstr>
      <vt:lpstr>Change_Order_Labor_Dollar_Est__NTPLH</vt:lpstr>
      <vt:lpstr>Change_Orders_Estimate_Materials</vt:lpstr>
      <vt:lpstr>Composite_Rate_Variance_dashboard</vt:lpstr>
      <vt:lpstr>Cost_Type_Labor_Projection</vt:lpstr>
      <vt:lpstr>Cost_Type_Materials</vt:lpstr>
      <vt:lpstr>CostType1_Materials</vt:lpstr>
      <vt:lpstr>Current_Estimate_Materials</vt:lpstr>
      <vt:lpstr>Current_Labor_Hours_Estimate_Labor_Projection</vt:lpstr>
      <vt:lpstr>Current_Labor_Hours_Estimate_NTPLH</vt:lpstr>
      <vt:lpstr>Current_Labor_Performance_Factor_dashboard</vt:lpstr>
      <vt:lpstr>Department_dashboard</vt:lpstr>
      <vt:lpstr>EOPeriodDate_dashboard</vt:lpstr>
      <vt:lpstr>EOPeriodDate_Labor_Performance</vt:lpstr>
      <vt:lpstr>Est____Complete_Labor_Projection</vt:lpstr>
      <vt:lpstr>Est____Complete_NTPLH</vt:lpstr>
      <vt:lpstr>Est____Hour_NTPLH</vt:lpstr>
      <vt:lpstr>Est_CompleteATYE_dashboard</vt:lpstr>
      <vt:lpstr>Estimated___Complete___YE_Block26</vt:lpstr>
      <vt:lpstr>Estimated___Complete___YE_Block28</vt:lpstr>
      <vt:lpstr>Estimated_Composite_Rate_dashboard</vt:lpstr>
      <vt:lpstr>Estimated_Future_Costs_Materials</vt:lpstr>
      <vt:lpstr>Estimated_Gross_Margin_dashboard</vt:lpstr>
      <vt:lpstr>Estimated_Manhours_dashboard</vt:lpstr>
      <vt:lpstr>Job_dashboard</vt:lpstr>
      <vt:lpstr>JTD____Hr_NTPLH</vt:lpstr>
      <vt:lpstr>JTD___Open_Materials</vt:lpstr>
      <vt:lpstr>JTD_Billings_dashboard</vt:lpstr>
      <vt:lpstr>JTD_collected_dashboard</vt:lpstr>
      <vt:lpstr>JTD_Cost_dashboard</vt:lpstr>
      <vt:lpstr>JTD_Hours_Labor_Projection</vt:lpstr>
      <vt:lpstr>JTD_Hours_NTPLH</vt:lpstr>
      <vt:lpstr>JTD_Materials</vt:lpstr>
      <vt:lpstr>JTD_Revenue_dashboard</vt:lpstr>
      <vt:lpstr>Labor_Performance_Cost_Labor_Performance</vt:lpstr>
      <vt:lpstr>Labor_Performance_Factor_cost_dashboard</vt:lpstr>
      <vt:lpstr>Labor_Performance_Factor_Labor_Performance</vt:lpstr>
      <vt:lpstr>Labor_performance_factorr_dashboard</vt:lpstr>
      <vt:lpstr>Net_Cash_Position_dashboard</vt:lpstr>
      <vt:lpstr>Open_Materials</vt:lpstr>
      <vt:lpstr>Original_Estimate_Materials</vt:lpstr>
      <vt:lpstr>Original_Hours_Estimate_Labor_Projection</vt:lpstr>
      <vt:lpstr>Original_Hours_Estimate_NTPLH</vt:lpstr>
      <vt:lpstr>Original_Labor_Dollar_Est__NTPLH</vt:lpstr>
      <vt:lpstr>overunderbilling_dashboard</vt:lpstr>
      <vt:lpstr>Phase_Labor_Projection</vt:lpstr>
      <vt:lpstr>Phase_Materials</vt:lpstr>
      <vt:lpstr>PhaseCenter_Labor_Projection</vt:lpstr>
      <vt:lpstr>PhaseCenter_Materials</vt:lpstr>
      <vt:lpstr>Productivity_Factor_Labor_Projection</vt:lpstr>
      <vt:lpstr>Productivity_Factor_NTPLH</vt:lpstr>
      <vt:lpstr>Productivity_Hours_Labor_Projection</vt:lpstr>
      <vt:lpstr>Productivity_Hours_NTPLH</vt:lpstr>
      <vt:lpstr>Project_Manager_dashboard</vt:lpstr>
      <vt:lpstr>Projected_Cost_Materials</vt:lpstr>
      <vt:lpstr>Projected_Hrs_to_Complete_Labor_Projection</vt:lpstr>
      <vt:lpstr>Projected_Hrs_to_Complete_NTPLH</vt:lpstr>
      <vt:lpstr>ProjectStatus_Labor_Projection</vt:lpstr>
      <vt:lpstr>ProjectStatus_Materials</vt:lpstr>
      <vt:lpstr>ProjectUniqueID_Labor_Performance</vt:lpstr>
      <vt:lpstr>Pseudo_Cost_Type_NTPLH</vt:lpstr>
      <vt:lpstr>Total_Hrs_Labor_Projection</vt:lpstr>
      <vt:lpstr>Total_Hrs_NTPLH</vt:lpstr>
      <vt:lpstr>Variance_Materials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Arya</cp:lastModifiedBy>
  <dcterms:modified xsi:type="dcterms:W3CDTF">2026-02-02T20:08:46Z</dcterms:modified>
</cp:coreProperties>
</file>