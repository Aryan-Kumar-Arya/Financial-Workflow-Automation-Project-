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aryankumararya/Downloads/"/>
    </mc:Choice>
  </mc:AlternateContent>
  <xr:revisionPtr revIDLastSave="0" documentId="13_ncr:1_{2E11B05A-EC6B-E541-9834-9900C6758D20}" xr6:coauthVersionLast="47" xr6:coauthVersionMax="47" xr10:uidLastSave="{00000000-0000-0000-0000-000000000000}"/>
  <bookViews>
    <workbookView xWindow="300" yWindow="-19740" windowWidth="29400" windowHeight="18380" xr2:uid="{00000000-000D-0000-FFFF-FFFF00000000}"/>
  </bookViews>
  <sheets>
    <sheet name="Query" sheetId="4" r:id="rId1"/>
    <sheet name="Project Managers" sheetId="1" r:id="rId2"/>
    <sheet name="Divisions" sheetId="2" r:id="rId3"/>
    <sheet name="EOperiodDate" sheetId="3" state="hidden" r:id="rId4"/>
  </sheets>
  <definedNames>
    <definedName name="__Complete___YE_Block5" comment="Block5">Divisions!$V$16</definedName>
    <definedName name="__Complete___YE_Block6" comment="Block6">Divisions!$V$16</definedName>
    <definedName name="__Complete___YE_Block8" comment="Block8">Divisions!$V$16</definedName>
    <definedName name="__Complete___YE_Division" comment="Division">Divisions!$V$16</definedName>
    <definedName name="__Complete___YE_WIP_ProjectManager" comment="WIP_ProjectManager">'Project Managers'!$X$12</definedName>
    <definedName name="__Complete_Block5" comment="Block5">Divisions!$Q$16</definedName>
    <definedName name="__Complete_Block6" comment="Block6">Divisions!$Q$16</definedName>
    <definedName name="__Complete_Block8" comment="Block8">Divisions!$Q$16</definedName>
    <definedName name="__Complete_Division" comment="Division">Divisions!$Q$16</definedName>
    <definedName name="__Complete_WIP_ProjectManager" comment="WIP_ProjectManager">'Project Managers'!$Q$12</definedName>
    <definedName name="_CY1_Estimated__Cost__Block8" comment="Block8">Divisions!$AD$16</definedName>
    <definedName name="_CY1_Estimated__Cost__Division" comment="Division">Divisions!$AD$16</definedName>
    <definedName name="_CY1_Estimated__Cost__WIP_ProjectManager" comment="WIP_ProjectManager">'Project Managers'!$AG$12</definedName>
    <definedName name="_Estimated__Cost__Block5" comment="Block5">Divisions!$AD$16</definedName>
    <definedName name="_Estimated__Cost__Block6" comment="Block6">Divisions!$AD$16</definedName>
    <definedName name="_Under__Billing_Block5" comment="Block5">Divisions!$O$16</definedName>
    <definedName name="_Under__Billing_Block6" comment="Block6">Divisions!$O$16</definedName>
    <definedName name="_Under__Billing_Block8" comment="Block8">Divisions!$O$16</definedName>
    <definedName name="_Under__Billing_Division" comment="Division">Divisions!$O$16</definedName>
    <definedName name="_Under__Billing_WIP_ProjectManager" comment="WIP_ProjectManager">'Project Managers'!$O$12</definedName>
    <definedName name="Backlog_Block5" comment="Block5">Divisions!$P$16</definedName>
    <definedName name="Backlog_Block6" comment="Block6">Divisions!$P$16</definedName>
    <definedName name="Backlog_Block8" comment="Block8">Divisions!$P$16</definedName>
    <definedName name="Backlog_Division" comment="Division">Divisions!$P$16</definedName>
    <definedName name="Backlog_WIP_ProjectManager" comment="WIP_ProjectManager">'Project Managers'!$P$12</definedName>
    <definedName name="Billed_Amount_Block5" comment="Block5">Divisions!$M$16</definedName>
    <definedName name="Billed_Amount_Block6" comment="Block6">Divisions!$M$16</definedName>
    <definedName name="Billed_Amount_Block8" comment="Block8">Divisions!$M$16</definedName>
    <definedName name="Billed_Amount_Division" comment="Division">Divisions!$M$16</definedName>
    <definedName name="Billed_Amount_WIP_ProjectManager" comment="WIP_ProjectManager">'Project Managers'!$M$12</definedName>
    <definedName name="Comments_Block5" comment="Block5">Divisions!$AO$16</definedName>
    <definedName name="Comments_Block6" comment="Block6">Divisions!$AO$16</definedName>
    <definedName name="Comments_Block8" comment="Block8">Divisions!$AO$16</definedName>
    <definedName name="Comments_Division" comment="Division">Divisions!$AO$16</definedName>
    <definedName name="Comments_WIP_ProjectManager" comment="WIP_ProjectManager">'Project Managers'!$AR$12</definedName>
    <definedName name="Contract__Amount_Block5" comment="Block5">Divisions!$AC$16</definedName>
    <definedName name="Contract__Amount_Block6" comment="Block6">Divisions!$AC$16</definedName>
    <definedName name="Contract_Amount____Block5" comment="Block5">Divisions!$AH$16</definedName>
    <definedName name="Contract_Amount____Block6" comment="Block6">Divisions!$AH$16</definedName>
    <definedName name="Contract_Amount__Block5" comment="Block5">Divisions!$X$16</definedName>
    <definedName name="Contract_Amount__Block6" comment="Block6">Divisions!$X$16</definedName>
    <definedName name="Cost_to_Date_Block5" comment="Block5">Divisions!$J$16</definedName>
    <definedName name="Cost_to_Date_Block6" comment="Block6">Divisions!$J$16</definedName>
    <definedName name="Cost_to_Date_Block8" comment="Block8">Divisions!$J$16</definedName>
    <definedName name="Cost_to_Date_Division" comment="Division">Divisions!$J$16</definedName>
    <definedName name="Cost_to_Date_WIP_ProjectManager" comment="WIP_ProjectManager">'Project Managers'!$J$12</definedName>
    <definedName name="Current_Contract_Amount_Block5" comment="Block5">Divisions!$E$16</definedName>
    <definedName name="Current_Contract_Amount_Block6" comment="Block6">Divisions!$E$16</definedName>
    <definedName name="Current_Contract_Amount_Block8" comment="Block8">Divisions!$E$16</definedName>
    <definedName name="Current_Contract_Amount_Division" comment="Division">Divisions!$E$16</definedName>
    <definedName name="Current_Contract_Amount_WIP_ProjectManager" comment="WIP_ProjectManager">'Project Managers'!$E$12</definedName>
    <definedName name="CY_Contract_Amount__Block8" comment="Block8">Divisions!$X$16</definedName>
    <definedName name="CY_Contract_Amount__Division" comment="Division">Divisions!$X$16</definedName>
    <definedName name="CY_Contract_Amount__WIP_ProjectManager" comment="WIP_ProjectManager">'Project Managers'!$AA$12</definedName>
    <definedName name="CY_Estimated_Cost_Block8" comment="Block8">Divisions!$Y$16</definedName>
    <definedName name="CY_Estimated_Cost_Division" comment="Division">Divisions!$Y$16</definedName>
    <definedName name="CY_Estimated_Cost_WIP_ProjectManager" comment="WIP_ProjectManager">'Project Managers'!$AB$12</definedName>
    <definedName name="CY_GM_____Block8" comment="Block8">Divisions!$AA$16</definedName>
    <definedName name="CY_GM_____Division" comment="Division">Divisions!$AA$16</definedName>
    <definedName name="CY_GM_____WIP_ProjectManager" comment="WIP_ProjectManager">'Project Managers'!$AD$12</definedName>
    <definedName name="CY_Gross_Margin_Block8" comment="Block8">Divisions!$Z$16</definedName>
    <definedName name="CY_Gross_Margin_Division" comment="Division">Divisions!$Z$16</definedName>
    <definedName name="CY_Gross_Margin_WIP_ProjectManager" comment="WIP_ProjectManager">'Project Managers'!$AC$12</definedName>
    <definedName name="CY_Revised___Complete_Block8" comment="Block8">Divisions!$AB$16</definedName>
    <definedName name="CY_Revised___Complete_Division" comment="Division">Divisions!$AB$16</definedName>
    <definedName name="CY1_Contract__Amount_Block8" comment="Block8">Divisions!$AC$16</definedName>
    <definedName name="CY1_Contract__Amount_Division" comment="Division">Divisions!$AC$16</definedName>
    <definedName name="CY1_Contract__Amount_WIP_ProjectManager" comment="WIP_ProjectManager">'Project Managers'!$AF$12</definedName>
    <definedName name="CY1_Gross__Margin_Block8" comment="Block8">Divisions!$AE$16</definedName>
    <definedName name="CY1_Gross__Margin_Division" comment="Division">Divisions!$AE$16</definedName>
    <definedName name="CY1_Gross__Margin_WIP_ProjectManager" comment="WIP_ProjectManager">'Project Managers'!$AH$12</definedName>
    <definedName name="CY1GM___Block8" comment="Block8">Divisions!$AF$16</definedName>
    <definedName name="CY1GM___Division" comment="Division">Divisions!$AF$16</definedName>
    <definedName name="CY1GM___WIP_ProjectManager" comment="WIP_ProjectManager">'Project Managers'!$AI$12</definedName>
    <definedName name="CY2_Contract_Amount___Block8" comment="Block8">Divisions!$AH$16</definedName>
    <definedName name="CY2_Contract_Amount___Division" comment="Division">Divisions!$AH$16</definedName>
    <definedName name="CY2_Contract_Amount___WIP_ProjectManager" comment="WIP_ProjectManager">'Project Managers'!$AK$12</definedName>
    <definedName name="CY2_Estimated_Cost____Block8" comment="Block8">Divisions!$AI$16</definedName>
    <definedName name="CY2_Estimated_Cost____Division" comment="Division">Divisions!$AI$16</definedName>
    <definedName name="CY2_Estimated_Cost____WIP_ProjectManager" comment="WIP_ProjectManager">'Project Managers'!$AL$12</definedName>
    <definedName name="CY2_GM_______Block8" comment="Block8">Divisions!$AK$16</definedName>
    <definedName name="CY2_GM_______Division" comment="Division">Divisions!$AK$16</definedName>
    <definedName name="CY2_GM_______WIP_ProjectManager" comment="WIP_ProjectManager">'Project Managers'!$AN$12</definedName>
    <definedName name="CY2_Gross_Margin____Block8" comment="Block8">Divisions!$AJ$16</definedName>
    <definedName name="CY2_Gross_Margin____Division" comment="Division">Divisions!$AJ$16</definedName>
    <definedName name="CY2_Gross_Margin____WIP_ProjectManager" comment="WIP_ProjectManager">'Project Managers'!$AM$12</definedName>
    <definedName name="CY2_Revised____Complete____YE____Block8" comment="Block8">Divisions!$AG$16</definedName>
    <definedName name="CY2_Revised____Complete____YE____Division" comment="Division">Divisions!$AG$16</definedName>
    <definedName name="CY2_Revised____Complete____YE____WIP_ProjectManager" comment="WIP_ProjectManager">'Project Managers'!$AJ$12</definedName>
    <definedName name="Description_Block5" comment="Block5">Divisions!$D$16</definedName>
    <definedName name="Description_Block6" comment="Block6">Divisions!$D$16</definedName>
    <definedName name="Description_Block8" comment="Block8">Divisions!$D$16</definedName>
    <definedName name="Description_Division" comment="Division">Divisions!$D$16</definedName>
    <definedName name="Description_WIP_ProjectManager" comment="WIP_ProjectManager">'Project Managers'!$D$12</definedName>
    <definedName name="Division_Division" comment="Division">Divisions!$B$16</definedName>
    <definedName name="End_of_Period_Date_EOperiodDate" comment="EOperiodDate">EOperiodDate!$B$4</definedName>
    <definedName name="Estimated_Cost____Block5" comment="Block5">Divisions!$AI$16</definedName>
    <definedName name="Estimated_Cost____Block6" comment="Block6">Divisions!$AI$16</definedName>
    <definedName name="Estimated_Cost_Block5" comment="Block5">Divisions!$F$16</definedName>
    <definedName name="Estimated_Cost_Block6" comment="Block6">Divisions!$F$16</definedName>
    <definedName name="Estimated_Cost_Block8" comment="Block8">Divisions!$F$16</definedName>
    <definedName name="Estimated_Cost_Division" comment="Division">Divisions!$F$16</definedName>
    <definedName name="Estimated_Cost_WIP_ProjectManager" comment="WIP_ProjectManager">'Project Managers'!$F$12</definedName>
    <definedName name="EStimatedGMPct_WIP_ProjectManager" comment="WIP_ProjectManager">'Project Managers'!$AS$12</definedName>
    <definedName name="estimatedgmpercentage__custom_1__Block5" comment="Block5">Divisions!$AM$16</definedName>
    <definedName name="estimatedgmpercentage__custom_1__Block6" comment="Block6">Divisions!$AL$16</definedName>
    <definedName name="estimatedgmpercentage__custom_Block8" comment="Block8">Divisions!$AL$16</definedName>
    <definedName name="estimatedgmpercentage__custom_Division" comment="Division">Divisions!$AL$16</definedName>
    <definedName name="estimatedgmpercentage__custom_WIP_ProjectManager" comment="WIP_ProjectManager">'Project Managers'!$AO$12</definedName>
    <definedName name="GM_______Block5" comment="Block5">Divisions!$AF$16</definedName>
    <definedName name="GM_______Block6" comment="Block6">Divisions!$AF$16</definedName>
    <definedName name="GM_____Block5" comment="Block5">Divisions!$AA$16</definedName>
    <definedName name="GM_____Block6" comment="Block6">Divisions!$AA$16</definedName>
    <definedName name="GM____Block5" comment="Block5">Divisions!$L$16</definedName>
    <definedName name="GM____Block6" comment="Block6">Divisions!$L$16</definedName>
    <definedName name="GM____Block8" comment="Block8">Divisions!$L$16</definedName>
    <definedName name="GM____Division" comment="Division">Divisions!$L$16</definedName>
    <definedName name="GM____WIP_ProjectManager" comment="WIP_ProjectManager">'Project Managers'!$L$12</definedName>
    <definedName name="GM__Block5" comment="Block5">Divisions!$H$16</definedName>
    <definedName name="GM__Block6" comment="Block6">Divisions!$H$16</definedName>
    <definedName name="GM__Block8" comment="Block8">Divisions!$H$16</definedName>
    <definedName name="GM__Division" comment="Division">Divisions!$H$16</definedName>
    <definedName name="GM__WIP_ProjectManager" comment="WIP_ProjectManager">'Project Managers'!$H$12</definedName>
    <definedName name="Gross__Margin_Block5" comment="Block5">Divisions!$AE$16</definedName>
    <definedName name="Gross__Margin_Block6" comment="Block6">Divisions!$AE$16</definedName>
    <definedName name="Gross_Margin____Block5" comment="Block5">Divisions!$AJ$16</definedName>
    <definedName name="Gross_Margin____Block6" comment="Block6">Divisions!$AJ$16</definedName>
    <definedName name="Gross_Margin_Block5" comment="Block5">Divisions!$G$16</definedName>
    <definedName name="Gross_Margin_Block6" comment="Block6">Divisions!$G$16</definedName>
    <definedName name="Gross_Margin_Block8" comment="Block8">Divisions!$G$16</definedName>
    <definedName name="Gross_Margin_Division" comment="Division">Divisions!$G$16</definedName>
    <definedName name="Gross_Margin_to_Date_Block5" comment="Block5">Divisions!$K$16</definedName>
    <definedName name="Gross_Margin_to_Date_Block6" comment="Block6">Divisions!$K$16</definedName>
    <definedName name="Gross_Margin_to_Date_Block8" comment="Block8">Divisions!$K$16</definedName>
    <definedName name="Gross_Margin_to_Date_Division" comment="Division">Divisions!$K$16</definedName>
    <definedName name="Gross_Margin_to_Date_WIP_ProjectManager" comment="WIP_ProjectManager">'Project Managers'!$K$12</definedName>
    <definedName name="Gross_Margin_WIP_ProjectManager" comment="WIP_ProjectManager">'Project Managers'!$G$12</definedName>
    <definedName name="Job_Number_Block5" comment="Block5">Divisions!$C$16</definedName>
    <definedName name="Job_Number_Block6" comment="Block6">Divisions!$C$16</definedName>
    <definedName name="Job_Number_Block8" comment="Block8">Divisions!$C$16</definedName>
    <definedName name="Job_Number_Division" comment="Division">Divisions!$C$16</definedName>
    <definedName name="Job_Number_WIP_ProjectManager" comment="WIP_ProjectManager">'Project Managers'!$C$12</definedName>
    <definedName name="JTD_Earned_Revenue__Block5" comment="Block5">Divisions!$I$16</definedName>
    <definedName name="JTD_Earned_Revenue__Block6" comment="Block6">Divisions!$I$16</definedName>
    <definedName name="JTD_Earned_Revenue__Block8" comment="Block8">Divisions!$I$16</definedName>
    <definedName name="JTD_Earned_Revenue__Division" comment="Division">Divisions!$I$16</definedName>
    <definedName name="JTD_Earned_Revenue__WIP_ProjectManager" comment="WIP_ProjectManager">'Project Managers'!$I$12</definedName>
    <definedName name="Over_Billing_Block5" comment="Block5">Divisions!$N$16</definedName>
    <definedName name="Over_Billing_Block6" comment="Block6">Divisions!$N$16</definedName>
    <definedName name="Over_Billing_Block8" comment="Block8">Divisions!$N$16</definedName>
    <definedName name="Over_Billing_Division" comment="Division">Divisions!$N$16</definedName>
    <definedName name="Over_Billing_WIP_ProjectManager" comment="WIP_ProjectManager">'Project Managers'!$N$12</definedName>
    <definedName name="percentagecompleteatye__custom_1__Block5" comment="Block5">Divisions!$AN$16</definedName>
    <definedName name="percentagecompleteatye__custom_1__Block6" comment="Block6">Divisions!$AN$16</definedName>
    <definedName name="percentagecompleteatye__custom_Block8" comment="Block8">Divisions!$AN$16</definedName>
    <definedName name="percentagecompleteatye__custom_Division" comment="Division">Divisions!$AN$16</definedName>
    <definedName name="percentagecompleteatye__custom_WIP_ProjectManager" comment="WIP_ProjectManager">'Project Managers'!$AQ$12</definedName>
    <definedName name="PM_Estimated_GM___Block5" comment="Block5">Divisions!$R$16</definedName>
    <definedName name="PM_Estimated_GM___Block6" comment="Block6">Divisions!$R$16</definedName>
    <definedName name="PM_Estimated_GM___Block8" comment="Block8">Divisions!$R$16</definedName>
    <definedName name="PM_Estimated_GM___Division" comment="Division">Divisions!$R$16</definedName>
    <definedName name="PM_Estimated_GM___WIP_ProjectManager" comment="WIP_ProjectManager">'Project Managers'!$R$12</definedName>
    <definedName name="pmestimatedgmpercentage__custom_Block5" comment="Block5">Divisions!$AL$16</definedName>
    <definedName name="pmestimatedgmpercentage__custom_Block6" comment="Block6">Divisions!$AM$16</definedName>
    <definedName name="pmestimatedgmpercentage__custom_Block8" comment="Block8">Divisions!$AM$16</definedName>
    <definedName name="pmestimatedgmpercentage__custom_Division" comment="Division">Divisions!$AM$16</definedName>
    <definedName name="pmestimatedgmpercentage__custom_WIP_ProjectManager" comment="WIP_ProjectManager">'Project Managers'!$AP$12</definedName>
    <definedName name="Potential_Profit_Block5" comment="Block5">Divisions!$T$16</definedName>
    <definedName name="Potential_Profit_Block6" comment="Block6">Divisions!$T$16</definedName>
    <definedName name="Potential_Profit_Block8" comment="Block8">Divisions!$T$16</definedName>
    <definedName name="Potential_Profit_Division" comment="Division">Divisions!$T$16</definedName>
    <definedName name="Potential_Profit_WIP_ProjectManager" comment="WIP_ProjectManager">'Project Managers'!$U$12</definedName>
    <definedName name="Prior_Period_Revised___Complete___YE_WIP_ProjectManager" comment="WIP_ProjectManager">'Project Managers'!$Y$12</definedName>
    <definedName name="Prior_Period_Revised_PM_Estimated_GM___WIP_ProjectManager" comment="WIP_ProjectManager">'Project Managers'!$S$12</definedName>
    <definedName name="Prior_Period_Revised_Potential_Profit_WIP_ProjectManager" comment="WIP_ProjectManager">'Project Managers'!$V$12</definedName>
    <definedName name="Project_Manager_Block5" comment="Block5">Divisions!$B$16</definedName>
    <definedName name="Project_Manager_Block6" comment="Block6">Divisions!$B$16</definedName>
    <definedName name="Project_Manager_Block8" comment="Block8">Divisions!$B$16</definedName>
    <definedName name="Project_Manager_WIP_ProjectManager" comment="WIP_ProjectManager">'Project Managers'!$B$12</definedName>
    <definedName name="Revised____Complete____YE____Block5" comment="Block5">Divisions!$AG$16</definedName>
    <definedName name="Revised____Complete____YE____Block6" comment="Block6">Divisions!$AG$16</definedName>
    <definedName name="Revised___Complete___YE____Block5" comment="Block5">Divisions!$AB$16</definedName>
    <definedName name="Revised___Complete___YE____Block6" comment="Block6">Divisions!$AB$16</definedName>
    <definedName name="Revised___Complete___YE__Block5" comment="Block5">Divisions!$W$16</definedName>
    <definedName name="Revised___Complete___YE__Block6" comment="Block6">Divisions!$W$16</definedName>
    <definedName name="Revised___Complete___YE__Block8" comment="Block8">Divisions!$W$16</definedName>
    <definedName name="Revised___Complete___YE__Division" comment="Division">Divisions!$W$16</definedName>
    <definedName name="Revised___Complete___YE__WIP_ProjectManager" comment="WIP_ProjectManager">'Project Managers'!$Z$12</definedName>
    <definedName name="Revised_PM_Estimated_GM___Block5" comment="Block5">Divisions!$S$16</definedName>
    <definedName name="Revised_PM_Estimated_GM___Block6" comment="Block6">Divisions!$S$16</definedName>
    <definedName name="Revised_PM_Estimated_GM___Block8" comment="Block8">Divisions!$S$16</definedName>
    <definedName name="Revised_PM_Estimated_GM___Division" comment="Division">Divisions!$S$16</definedName>
    <definedName name="Revised_PM_Estimated_GM___WIP_ProjectManager" comment="WIP_ProjectManager">'Project Managers'!$T$12</definedName>
    <definedName name="Revised_Potential_Profit__Block5" comment="Block5">Divisions!$U$16</definedName>
    <definedName name="Revised_Potential_Profit__Block6" comment="Block6">Divisions!$U$16</definedName>
    <definedName name="Revised_Potential_Profit__Block8" comment="Block8">Divisions!$U$16</definedName>
    <definedName name="Revised_Potential_Profit__Division" comment="Division">Divisions!$U$16</definedName>
    <definedName name="Revised_Potential_Profit__WIP_ProjectManager" comment="WIP_ProjectManager">'Project Managers'!$W$12</definedName>
    <definedName name="RevisedCY1___Complete_WIP_ProjectManager" comment="WIP_ProjectManager">'Project Managers'!$AE$12</definedName>
  </definedNames>
  <calcPr calcId="191029" iterate="1" iterateCount="1000" iterateDelta="0.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1" i="2" l="1"/>
  <c r="J51" i="2"/>
  <c r="I51" i="2"/>
  <c r="Q51" i="2" s="1"/>
  <c r="H51" i="2" a="1"/>
  <c r="H51" i="2" s="1"/>
  <c r="E51" i="2"/>
  <c r="Q50" i="2"/>
  <c r="P50" i="2"/>
  <c r="O50" i="2"/>
  <c r="N50" i="2"/>
  <c r="L50" i="2"/>
  <c r="K50" i="2"/>
  <c r="Q49" i="2"/>
  <c r="P49" i="2"/>
  <c r="O49" i="2"/>
  <c r="N49" i="2"/>
  <c r="L49" i="2"/>
  <c r="K49" i="2"/>
  <c r="Q48" i="2"/>
  <c r="P48" i="2"/>
  <c r="O48" i="2"/>
  <c r="N48" i="2"/>
  <c r="K48" i="2"/>
  <c r="L48" i="2" s="1"/>
  <c r="Q47" i="2"/>
  <c r="P47" i="2"/>
  <c r="O47" i="2"/>
  <c r="N47" i="2"/>
  <c r="L47" i="2"/>
  <c r="K47" i="2"/>
  <c r="Q46" i="2"/>
  <c r="P46" i="2"/>
  <c r="O46" i="2"/>
  <c r="N46" i="2"/>
  <c r="L46" i="2"/>
  <c r="K46" i="2"/>
  <c r="Q45" i="2"/>
  <c r="P45" i="2"/>
  <c r="O45" i="2"/>
  <c r="N45" i="2"/>
  <c r="K45" i="2"/>
  <c r="L45" i="2" s="1"/>
  <c r="Q44" i="2"/>
  <c r="P44" i="2"/>
  <c r="O44" i="2"/>
  <c r="N44" i="2"/>
  <c r="L44" i="2"/>
  <c r="K44" i="2"/>
  <c r="Q43" i="2"/>
  <c r="P43" i="2"/>
  <c r="O43" i="2"/>
  <c r="N43" i="2"/>
  <c r="K43" i="2"/>
  <c r="L43" i="2" s="1"/>
  <c r="Q42" i="2"/>
  <c r="P42" i="2"/>
  <c r="O42" i="2"/>
  <c r="N42" i="2"/>
  <c r="L42" i="2"/>
  <c r="K42" i="2"/>
  <c r="Q41" i="2"/>
  <c r="P41" i="2"/>
  <c r="O41" i="2"/>
  <c r="N41" i="2"/>
  <c r="L41" i="2"/>
  <c r="K41" i="2"/>
  <c r="Q40" i="2"/>
  <c r="P40" i="2"/>
  <c r="O40" i="2"/>
  <c r="N40" i="2"/>
  <c r="L40" i="2"/>
  <c r="K40" i="2"/>
  <c r="Q39" i="2"/>
  <c r="P39" i="2"/>
  <c r="O39" i="2"/>
  <c r="N39" i="2"/>
  <c r="K39" i="2"/>
  <c r="L39" i="2" s="1"/>
  <c r="Q38" i="2"/>
  <c r="P38" i="2"/>
  <c r="O38" i="2"/>
  <c r="N38" i="2"/>
  <c r="L38" i="2"/>
  <c r="K38" i="2"/>
  <c r="Q37" i="2"/>
  <c r="P37" i="2"/>
  <c r="O37" i="2"/>
  <c r="N37" i="2"/>
  <c r="K37" i="2"/>
  <c r="L37" i="2" s="1"/>
  <c r="H37" i="2" a="1"/>
  <c r="H37" i="2"/>
  <c r="F37" i="2" s="1"/>
  <c r="G37" i="2" s="1"/>
  <c r="Q36" i="2"/>
  <c r="P36" i="2"/>
  <c r="O36" i="2"/>
  <c r="N36" i="2"/>
  <c r="L36" i="2"/>
  <c r="K36" i="2"/>
  <c r="H36" i="2" a="1"/>
  <c r="H36" i="2"/>
  <c r="F36" i="2" s="1"/>
  <c r="G36" i="2" s="1"/>
  <c r="Q35" i="2"/>
  <c r="P35" i="2"/>
  <c r="O35" i="2"/>
  <c r="N35" i="2"/>
  <c r="K35" i="2"/>
  <c r="L35" i="2" s="1"/>
  <c r="H35" i="2" a="1"/>
  <c r="H35" i="2" s="1"/>
  <c r="F35" i="2"/>
  <c r="G35" i="2" s="1"/>
  <c r="Q34" i="2"/>
  <c r="P34" i="2"/>
  <c r="O34" i="2"/>
  <c r="N34" i="2"/>
  <c r="L34" i="2"/>
  <c r="K34" i="2"/>
  <c r="Q33" i="2"/>
  <c r="P33" i="2"/>
  <c r="O33" i="2"/>
  <c r="N33" i="2"/>
  <c r="L33" i="2"/>
  <c r="K33" i="2"/>
  <c r="H33" i="2" a="1"/>
  <c r="H33" i="2"/>
  <c r="F33" i="2" s="1"/>
  <c r="G33" i="2" s="1"/>
  <c r="Q32" i="2"/>
  <c r="P32" i="2"/>
  <c r="O32" i="2"/>
  <c r="N32" i="2"/>
  <c r="L32" i="2"/>
  <c r="K32" i="2"/>
  <c r="H32" i="2" a="1"/>
  <c r="H32" i="2"/>
  <c r="F32" i="2" s="1"/>
  <c r="G32" i="2" s="1"/>
  <c r="Q31" i="2"/>
  <c r="P31" i="2"/>
  <c r="O31" i="2"/>
  <c r="N31" i="2"/>
  <c r="K31" i="2"/>
  <c r="L31" i="2" s="1"/>
  <c r="Q30" i="2"/>
  <c r="P30" i="2"/>
  <c r="O30" i="2"/>
  <c r="N30" i="2"/>
  <c r="K30" i="2"/>
  <c r="L30" i="2" s="1"/>
  <c r="Q29" i="2"/>
  <c r="P29" i="2"/>
  <c r="O29" i="2"/>
  <c r="N29" i="2"/>
  <c r="L29" i="2"/>
  <c r="K29" i="2"/>
  <c r="Q28" i="2"/>
  <c r="P28" i="2"/>
  <c r="O28" i="2"/>
  <c r="N28" i="2"/>
  <c r="K28" i="2"/>
  <c r="L28" i="2" s="1"/>
  <c r="Q27" i="2"/>
  <c r="P27" i="2"/>
  <c r="O27" i="2"/>
  <c r="N27" i="2"/>
  <c r="K27" i="2"/>
  <c r="L27" i="2" s="1"/>
  <c r="Q26" i="2"/>
  <c r="P26" i="2"/>
  <c r="O26" i="2"/>
  <c r="N26" i="2"/>
  <c r="K26" i="2"/>
  <c r="L26" i="2" s="1"/>
  <c r="Q25" i="2"/>
  <c r="P25" i="2"/>
  <c r="O25" i="2"/>
  <c r="N25" i="2"/>
  <c r="L25" i="2"/>
  <c r="K25" i="2"/>
  <c r="Q24" i="2"/>
  <c r="P24" i="2"/>
  <c r="O24" i="2"/>
  <c r="N24" i="2"/>
  <c r="K24" i="2"/>
  <c r="L24" i="2" s="1"/>
  <c r="Q23" i="2"/>
  <c r="P23" i="2"/>
  <c r="O23" i="2"/>
  <c r="N23" i="2"/>
  <c r="L23" i="2"/>
  <c r="K23" i="2"/>
  <c r="H23" i="2" a="1"/>
  <c r="H23" i="2" s="1"/>
  <c r="F23" i="2" s="1"/>
  <c r="G23" i="2" s="1"/>
  <c r="Q22" i="2"/>
  <c r="P22" i="2"/>
  <c r="O22" i="2"/>
  <c r="N22" i="2"/>
  <c r="K22" i="2"/>
  <c r="L22" i="2" s="1"/>
  <c r="H22" i="2" a="1"/>
  <c r="H22" i="2" s="1"/>
  <c r="F22" i="2" s="1"/>
  <c r="G22" i="2"/>
  <c r="Q21" i="2"/>
  <c r="P21" i="2"/>
  <c r="O21" i="2"/>
  <c r="N21" i="2"/>
  <c r="K21" i="2"/>
  <c r="L21" i="2" s="1"/>
  <c r="H21" i="2" a="1"/>
  <c r="H21" i="2"/>
  <c r="F21" i="2"/>
  <c r="G21" i="2" s="1"/>
  <c r="Q20" i="2"/>
  <c r="P20" i="2"/>
  <c r="O20" i="2"/>
  <c r="N20" i="2"/>
  <c r="K20" i="2"/>
  <c r="L20" i="2" s="1"/>
  <c r="H20" i="2" a="1"/>
  <c r="H20" i="2"/>
  <c r="F20" i="2" s="1"/>
  <c r="G20" i="2" s="1"/>
  <c r="Q19" i="2"/>
  <c r="P19" i="2"/>
  <c r="O19" i="2"/>
  <c r="N19" i="2"/>
  <c r="L19" i="2"/>
  <c r="K19" i="2"/>
  <c r="H19" i="2" a="1"/>
  <c r="H19" i="2" s="1"/>
  <c r="G19" i="2"/>
  <c r="F19" i="2"/>
  <c r="Q18" i="2"/>
  <c r="P18" i="2"/>
  <c r="O18" i="2"/>
  <c r="N18" i="2"/>
  <c r="L18" i="2"/>
  <c r="K18" i="2"/>
  <c r="H18" i="2" a="1"/>
  <c r="H18" i="2"/>
  <c r="F18" i="2"/>
  <c r="G18" i="2" s="1"/>
  <c r="Q17" i="2"/>
  <c r="P17" i="2"/>
  <c r="O17" i="2"/>
  <c r="N17" i="2"/>
  <c r="K17" i="2"/>
  <c r="L17" i="2" s="1"/>
  <c r="H17" i="2" a="1"/>
  <c r="H17" i="2" s="1"/>
  <c r="F17" i="2" s="1"/>
  <c r="G17" i="2" s="1"/>
  <c r="Q16" i="2"/>
  <c r="P16" i="2"/>
  <c r="O16" i="2"/>
  <c r="N16" i="2"/>
  <c r="K16" i="2"/>
  <c r="H16" i="2" a="1"/>
  <c r="H16" i="2" s="1"/>
  <c r="F16" i="2" s="1"/>
  <c r="AO7" i="2" a="1"/>
  <c r="AO7" i="2"/>
  <c r="AN7" i="2" a="1"/>
  <c r="AN7" i="2" s="1"/>
  <c r="AM7" i="2" a="1"/>
  <c r="AM7" i="2" s="1"/>
  <c r="W7" i="2" a="1"/>
  <c r="W7" i="2"/>
  <c r="V7" i="2" a="1"/>
  <c r="V7" i="2"/>
  <c r="U7" i="2" a="1"/>
  <c r="U7" i="2"/>
  <c r="T7" i="2" a="1"/>
  <c r="T7" i="2" s="1"/>
  <c r="S7" i="2" a="1"/>
  <c r="S7" i="2"/>
  <c r="R7" i="2" a="1"/>
  <c r="R7" i="2"/>
  <c r="Q7" i="2" a="1"/>
  <c r="Q7" i="2"/>
  <c r="P7" i="2" a="1"/>
  <c r="P7" i="2" s="1"/>
  <c r="O7" i="2" a="1"/>
  <c r="O7" i="2"/>
  <c r="N7" i="2" a="1"/>
  <c r="N7" i="2"/>
  <c r="M7" i="2" a="1"/>
  <c r="M7" i="2"/>
  <c r="L7" i="2" a="1"/>
  <c r="L7" i="2" s="1"/>
  <c r="K7" i="2" a="1"/>
  <c r="K7" i="2"/>
  <c r="J7" i="2" a="1"/>
  <c r="J7" i="2"/>
  <c r="I7" i="2" a="1"/>
  <c r="I7" i="2" s="1"/>
  <c r="H7" i="2" a="1"/>
  <c r="H7" i="2" s="1"/>
  <c r="G7" i="2" a="1"/>
  <c r="G7" i="2"/>
  <c r="F7" i="2" a="1"/>
  <c r="F7" i="2"/>
  <c r="E7" i="2" a="1"/>
  <c r="E7" i="2"/>
  <c r="D7" i="2" a="1"/>
  <c r="D7" i="2" s="1"/>
  <c r="C7" i="2" a="1"/>
  <c r="C7" i="2"/>
  <c r="B7" i="2" a="1"/>
  <c r="B7" i="2"/>
  <c r="X6" i="2"/>
  <c r="AB6" i="2" s="1"/>
  <c r="H4" i="2" a="1"/>
  <c r="H4" i="2" s="1"/>
  <c r="AE54" i="1"/>
  <c r="V54" i="1"/>
  <c r="M54" i="1"/>
  <c r="J54" i="1"/>
  <c r="I54" i="1"/>
  <c r="H54" i="1" a="1"/>
  <c r="H54" i="1"/>
  <c r="E54" i="1"/>
  <c r="AK53" i="1"/>
  <c r="AE53" i="1"/>
  <c r="V53" i="1"/>
  <c r="M53" i="1"/>
  <c r="J53" i="1"/>
  <c r="I53" i="1"/>
  <c r="Q53" i="1" s="1"/>
  <c r="H53" i="1" a="1"/>
  <c r="H53" i="1"/>
  <c r="E53" i="1"/>
  <c r="AN52" i="1"/>
  <c r="AM52" i="1"/>
  <c r="AM53" i="1" s="1"/>
  <c r="AN53" i="1" s="1"/>
  <c r="AL52" i="1"/>
  <c r="AL53" i="1" s="1"/>
  <c r="AK52" i="1"/>
  <c r="AE52" i="1"/>
  <c r="X52" i="1"/>
  <c r="W52" i="1"/>
  <c r="W53" i="1" s="1"/>
  <c r="U52" i="1"/>
  <c r="U53" i="1" s="1"/>
  <c r="R52" i="1" a="1"/>
  <c r="R52" i="1" s="1"/>
  <c r="Q52" i="1"/>
  <c r="AB52" i="1" s="1"/>
  <c r="AB53" i="1" s="1"/>
  <c r="P52" i="1"/>
  <c r="P53" i="1" s="1"/>
  <c r="O52" i="1"/>
  <c r="O53" i="1" s="1"/>
  <c r="N52" i="1"/>
  <c r="N53" i="1" s="1"/>
  <c r="K52" i="1"/>
  <c r="H52" i="1" a="1"/>
  <c r="H52" i="1" s="1"/>
  <c r="F52" i="1" s="1"/>
  <c r="AE51" i="1"/>
  <c r="V51" i="1"/>
  <c r="M51" i="1"/>
  <c r="J51" i="1"/>
  <c r="I51" i="1"/>
  <c r="H51" i="1" a="1"/>
  <c r="H51" i="1"/>
  <c r="E51" i="1"/>
  <c r="AL50" i="1"/>
  <c r="AK50" i="1"/>
  <c r="AM50" i="1" s="1"/>
  <c r="AN50" i="1" s="1"/>
  <c r="AE50" i="1"/>
  <c r="AA50" i="1"/>
  <c r="X50" i="1"/>
  <c r="W50" i="1"/>
  <c r="U50" i="1"/>
  <c r="R50" i="1" a="1"/>
  <c r="R50" i="1" s="1"/>
  <c r="H50" i="1" s="1" a="1"/>
  <c r="H50" i="1" s="1"/>
  <c r="F50" i="1" s="1"/>
  <c r="Q50" i="1"/>
  <c r="P50" i="1"/>
  <c r="O50" i="1"/>
  <c r="N50" i="1"/>
  <c r="K50" i="1"/>
  <c r="L50" i="1" s="1"/>
  <c r="G50" i="1"/>
  <c r="AL49" i="1"/>
  <c r="AK49" i="1"/>
  <c r="AM49" i="1" s="1"/>
  <c r="AN49" i="1" s="1"/>
  <c r="AE49" i="1"/>
  <c r="AF49" i="1" s="1"/>
  <c r="X49" i="1"/>
  <c r="W49" i="1"/>
  <c r="R49" i="1"/>
  <c r="Q49" i="1"/>
  <c r="P49" i="1"/>
  <c r="O49" i="1"/>
  <c r="N49" i="1"/>
  <c r="K49" i="1"/>
  <c r="L49" i="1" s="1"/>
  <c r="AL48" i="1"/>
  <c r="AK48" i="1"/>
  <c r="AM48" i="1" s="1"/>
  <c r="AN48" i="1" s="1"/>
  <c r="AF48" i="1"/>
  <c r="AE48" i="1"/>
  <c r="AG48" i="1" s="1"/>
  <c r="AB48" i="1"/>
  <c r="X48" i="1"/>
  <c r="W48" i="1"/>
  <c r="U48" i="1"/>
  <c r="R48" i="1" a="1"/>
  <c r="R48" i="1" s="1"/>
  <c r="Q48" i="1"/>
  <c r="AA48" i="1" s="1"/>
  <c r="P48" i="1"/>
  <c r="O48" i="1"/>
  <c r="N48" i="1"/>
  <c r="L48" i="1"/>
  <c r="K48" i="1"/>
  <c r="H48" i="1" a="1"/>
  <c r="H48" i="1" s="1"/>
  <c r="F48" i="1" s="1"/>
  <c r="G48" i="1" s="1"/>
  <c r="AK47" i="1"/>
  <c r="AF47" i="1"/>
  <c r="AE47" i="1"/>
  <c r="AA47" i="1"/>
  <c r="X47" i="1"/>
  <c r="W47" i="1"/>
  <c r="U47" i="1"/>
  <c r="R47" i="1"/>
  <c r="Q47" i="1"/>
  <c r="P47" i="1"/>
  <c r="O47" i="1"/>
  <c r="N47" i="1"/>
  <c r="K47" i="1"/>
  <c r="L47" i="1" s="1"/>
  <c r="H47" i="1" a="1"/>
  <c r="H47" i="1" s="1"/>
  <c r="F47" i="1" s="1"/>
  <c r="G47" i="1"/>
  <c r="AK46" i="1"/>
  <c r="AE46" i="1"/>
  <c r="X46" i="1"/>
  <c r="W46" i="1"/>
  <c r="R46" i="1"/>
  <c r="H46" i="1" s="1" a="1"/>
  <c r="H46" i="1" s="1"/>
  <c r="F46" i="1" s="1"/>
  <c r="G46" i="1" s="1"/>
  <c r="Q46" i="1"/>
  <c r="P46" i="1"/>
  <c r="O46" i="1"/>
  <c r="N46" i="1"/>
  <c r="K46" i="1"/>
  <c r="L46" i="1" s="1"/>
  <c r="AK45" i="1"/>
  <c r="AG45" i="1"/>
  <c r="AF45" i="1"/>
  <c r="AE45" i="1"/>
  <c r="X45" i="1"/>
  <c r="W45" i="1"/>
  <c r="U45" i="1"/>
  <c r="R45" i="1"/>
  <c r="Q45" i="1"/>
  <c r="P45" i="1"/>
  <c r="O45" i="1"/>
  <c r="N45" i="1"/>
  <c r="L45" i="1"/>
  <c r="K45" i="1"/>
  <c r="H45" i="1" a="1"/>
  <c r="H45" i="1" s="1"/>
  <c r="F45" i="1" s="1"/>
  <c r="G45" i="1" s="1"/>
  <c r="AK44" i="1"/>
  <c r="AL44" i="1" s="1"/>
  <c r="AE44" i="1"/>
  <c r="X44" i="1"/>
  <c r="W44" i="1"/>
  <c r="R44" i="1"/>
  <c r="Q44" i="1"/>
  <c r="P44" i="1"/>
  <c r="O44" i="1"/>
  <c r="N44" i="1"/>
  <c r="L44" i="1"/>
  <c r="K44" i="1"/>
  <c r="AK43" i="1"/>
  <c r="AL43" i="1" s="1"/>
  <c r="AE43" i="1"/>
  <c r="X43" i="1"/>
  <c r="W43" i="1"/>
  <c r="R43" i="1" a="1"/>
  <c r="R43" i="1"/>
  <c r="U43" i="1" s="1"/>
  <c r="Q43" i="1"/>
  <c r="P43" i="1"/>
  <c r="O43" i="1"/>
  <c r="N43" i="1"/>
  <c r="K43" i="1"/>
  <c r="L43" i="1" s="1"/>
  <c r="H43" i="1" a="1"/>
  <c r="H43" i="1"/>
  <c r="F43" i="1" s="1"/>
  <c r="G43" i="1"/>
  <c r="AK42" i="1"/>
  <c r="AE42" i="1"/>
  <c r="AA42" i="1"/>
  <c r="X42" i="1"/>
  <c r="W42" i="1"/>
  <c r="U42" i="1"/>
  <c r="R42" i="1"/>
  <c r="Q42" i="1"/>
  <c r="P42" i="1"/>
  <c r="O42" i="1"/>
  <c r="N42" i="1"/>
  <c r="K42" i="1"/>
  <c r="L42" i="1" s="1"/>
  <c r="AL42" i="1" s="1"/>
  <c r="H42" i="1" a="1"/>
  <c r="H42" i="1" s="1"/>
  <c r="F42" i="1" s="1"/>
  <c r="G42" i="1" s="1"/>
  <c r="AK41" i="1"/>
  <c r="AF41" i="1"/>
  <c r="AE41" i="1"/>
  <c r="X41" i="1"/>
  <c r="W41" i="1"/>
  <c r="U41" i="1"/>
  <c r="R41" i="1"/>
  <c r="Q41" i="1"/>
  <c r="P41" i="1"/>
  <c r="O41" i="1"/>
  <c r="N41" i="1"/>
  <c r="L41" i="1"/>
  <c r="K41" i="1"/>
  <c r="H41" i="1" a="1"/>
  <c r="H41" i="1" s="1"/>
  <c r="F41" i="1"/>
  <c r="G41" i="1" s="1"/>
  <c r="AK40" i="1"/>
  <c r="AE40" i="1"/>
  <c r="X40" i="1"/>
  <c r="W40" i="1"/>
  <c r="R40" i="1"/>
  <c r="H40" i="1" s="1" a="1"/>
  <c r="H40" i="1" s="1"/>
  <c r="F40" i="1" s="1"/>
  <c r="G40" i="1" s="1"/>
  <c r="Q40" i="1"/>
  <c r="P40" i="1"/>
  <c r="O40" i="1"/>
  <c r="N40" i="1"/>
  <c r="K40" i="1"/>
  <c r="L40" i="1" s="1"/>
  <c r="AL40" i="1" s="1"/>
  <c r="AM40" i="1" s="1"/>
  <c r="AN40" i="1" s="1"/>
  <c r="AK39" i="1"/>
  <c r="AL39" i="1" s="1"/>
  <c r="AI39" i="1"/>
  <c r="AF39" i="1"/>
  <c r="AE39" i="1"/>
  <c r="AA39" i="1"/>
  <c r="X39" i="1"/>
  <c r="W39" i="1"/>
  <c r="U39" i="1"/>
  <c r="R39" i="1"/>
  <c r="Q39" i="1"/>
  <c r="P39" i="1"/>
  <c r="O39" i="1"/>
  <c r="N39" i="1"/>
  <c r="L39" i="1"/>
  <c r="AG39" i="1" s="1"/>
  <c r="AH39" i="1" s="1"/>
  <c r="K39" i="1"/>
  <c r="H39" i="1" a="1"/>
  <c r="H39" i="1" s="1"/>
  <c r="F39" i="1" s="1"/>
  <c r="G39" i="1"/>
  <c r="AL38" i="1"/>
  <c r="AK38" i="1"/>
  <c r="AE38" i="1"/>
  <c r="X38" i="1"/>
  <c r="W38" i="1"/>
  <c r="R38" i="1"/>
  <c r="Q38" i="1"/>
  <c r="P38" i="1"/>
  <c r="O38" i="1"/>
  <c r="N38" i="1"/>
  <c r="K38" i="1"/>
  <c r="L38" i="1" s="1"/>
  <c r="AK37" i="1"/>
  <c r="AE37" i="1"/>
  <c r="X37" i="1"/>
  <c r="W37" i="1"/>
  <c r="U37" i="1"/>
  <c r="R37" i="1"/>
  <c r="Q37" i="1"/>
  <c r="AA37" i="1" s="1"/>
  <c r="P37" i="1"/>
  <c r="O37" i="1"/>
  <c r="N37" i="1"/>
  <c r="K37" i="1"/>
  <c r="L37" i="1" s="1"/>
  <c r="AB37" i="1" s="1"/>
  <c r="H37" i="1" a="1"/>
  <c r="H37" i="1" s="1"/>
  <c r="F37" i="1" s="1"/>
  <c r="G37" i="1" s="1"/>
  <c r="AK36" i="1"/>
  <c r="AL36" i="1" s="1"/>
  <c r="AE36" i="1"/>
  <c r="AA36" i="1"/>
  <c r="AB36" i="1" s="1"/>
  <c r="AC36" i="1" s="1"/>
  <c r="AD36" i="1" s="1"/>
  <c r="X36" i="1"/>
  <c r="W36" i="1"/>
  <c r="R36" i="1"/>
  <c r="Q36" i="1"/>
  <c r="P36" i="1"/>
  <c r="O36" i="1"/>
  <c r="N36" i="1"/>
  <c r="L36" i="1"/>
  <c r="K36" i="1"/>
  <c r="AM35" i="1"/>
  <c r="AN35" i="1" s="1"/>
  <c r="AK35" i="1"/>
  <c r="AE35" i="1"/>
  <c r="AF35" i="1" s="1"/>
  <c r="AD35" i="1"/>
  <c r="AC35" i="1"/>
  <c r="AB35" i="1"/>
  <c r="X35" i="1"/>
  <c r="W35" i="1"/>
  <c r="U35" i="1"/>
  <c r="R35" i="1"/>
  <c r="Q35" i="1"/>
  <c r="AA35" i="1" s="1"/>
  <c r="P35" i="1"/>
  <c r="O35" i="1"/>
  <c r="N35" i="1"/>
  <c r="L35" i="1"/>
  <c r="AL35" i="1" s="1"/>
  <c r="K35" i="1"/>
  <c r="H35" i="1" a="1"/>
  <c r="H35" i="1" s="1"/>
  <c r="F35" i="1"/>
  <c r="G35" i="1" s="1"/>
  <c r="AL34" i="1"/>
  <c r="AK34" i="1"/>
  <c r="AE34" i="1"/>
  <c r="AA34" i="1"/>
  <c r="X34" i="1"/>
  <c r="W34" i="1"/>
  <c r="U34" i="1"/>
  <c r="R34" i="1" a="1"/>
  <c r="R34" i="1" s="1"/>
  <c r="Q34" i="1"/>
  <c r="P34" i="1"/>
  <c r="O34" i="1"/>
  <c r="N34" i="1"/>
  <c r="L34" i="1"/>
  <c r="K34" i="1"/>
  <c r="H34" i="1" a="1"/>
  <c r="H34" i="1" s="1"/>
  <c r="F34" i="1" s="1"/>
  <c r="G34" i="1" s="1"/>
  <c r="AK33" i="1"/>
  <c r="AE33" i="1"/>
  <c r="AF33" i="1" s="1"/>
  <c r="AB33" i="1"/>
  <c r="AA33" i="1"/>
  <c r="AC33" i="1" s="1"/>
  <c r="AD33" i="1" s="1"/>
  <c r="X33" i="1"/>
  <c r="W33" i="1"/>
  <c r="R33" i="1" a="1"/>
  <c r="R33" i="1"/>
  <c r="U33" i="1" s="1"/>
  <c r="Q33" i="1"/>
  <c r="P33" i="1"/>
  <c r="O33" i="1"/>
  <c r="N33" i="1"/>
  <c r="L33" i="1"/>
  <c r="AL33" i="1" s="1"/>
  <c r="AM33" i="1" s="1"/>
  <c r="AN33" i="1" s="1"/>
  <c r="K33" i="1"/>
  <c r="H33" i="1" a="1"/>
  <c r="H33" i="1"/>
  <c r="F33" i="1"/>
  <c r="G33" i="1" s="1"/>
  <c r="AL32" i="1"/>
  <c r="AK32" i="1"/>
  <c r="AM32" i="1" s="1"/>
  <c r="AN32" i="1" s="1"/>
  <c r="AE32" i="1"/>
  <c r="AB32" i="1"/>
  <c r="AC32" i="1" s="1"/>
  <c r="AD32" i="1" s="1"/>
  <c r="AA32" i="1"/>
  <c r="X32" i="1"/>
  <c r="W32" i="1"/>
  <c r="U32" i="1"/>
  <c r="R32" i="1" a="1"/>
  <c r="R32" i="1" s="1"/>
  <c r="Q32" i="1"/>
  <c r="P32" i="1"/>
  <c r="O32" i="1"/>
  <c r="N32" i="1"/>
  <c r="L32" i="1"/>
  <c r="K32" i="1"/>
  <c r="H32" i="1" a="1"/>
  <c r="H32" i="1" s="1"/>
  <c r="F32" i="1"/>
  <c r="G32" i="1" s="1"/>
  <c r="AL31" i="1"/>
  <c r="AM31" i="1" s="1"/>
  <c r="AK31" i="1"/>
  <c r="AE31" i="1"/>
  <c r="AB31" i="1"/>
  <c r="X31" i="1"/>
  <c r="W31" i="1"/>
  <c r="R31" i="1" a="1"/>
  <c r="R31" i="1"/>
  <c r="U31" i="1" s="1"/>
  <c r="Q31" i="1"/>
  <c r="AA31" i="1" s="1"/>
  <c r="P31" i="1"/>
  <c r="O31" i="1"/>
  <c r="N31" i="1"/>
  <c r="L31" i="1"/>
  <c r="K31" i="1"/>
  <c r="H31" i="1" a="1"/>
  <c r="H31" i="1"/>
  <c r="F31" i="1" s="1"/>
  <c r="AE30" i="1"/>
  <c r="V30" i="1"/>
  <c r="O30" i="1"/>
  <c r="M30" i="1"/>
  <c r="J30" i="1"/>
  <c r="I30" i="1"/>
  <c r="Q30" i="1" s="1"/>
  <c r="H30" i="1" a="1"/>
  <c r="H30" i="1"/>
  <c r="E30" i="1"/>
  <c r="AK29" i="1"/>
  <c r="AE29" i="1"/>
  <c r="AA29" i="1"/>
  <c r="AF29" i="1" s="1"/>
  <c r="X29" i="1"/>
  <c r="W29" i="1"/>
  <c r="R29" i="1"/>
  <c r="U29" i="1" s="1"/>
  <c r="Q29" i="1"/>
  <c r="P29" i="1"/>
  <c r="O29" i="1"/>
  <c r="N29" i="1"/>
  <c r="L29" i="1"/>
  <c r="AL29" i="1" s="1"/>
  <c r="AM29" i="1" s="1"/>
  <c r="AN29" i="1" s="1"/>
  <c r="K29" i="1"/>
  <c r="AK28" i="1"/>
  <c r="AE28" i="1"/>
  <c r="X28" i="1"/>
  <c r="W28" i="1"/>
  <c r="R28" i="1" a="1"/>
  <c r="R28" i="1"/>
  <c r="U28" i="1" s="1"/>
  <c r="Q28" i="1"/>
  <c r="AA28" i="1" s="1"/>
  <c r="AF28" i="1" s="1"/>
  <c r="P28" i="1"/>
  <c r="O28" i="1"/>
  <c r="N28" i="1"/>
  <c r="K28" i="1"/>
  <c r="L28" i="1" s="1"/>
  <c r="AL28" i="1" s="1"/>
  <c r="AM28" i="1" s="1"/>
  <c r="AN28" i="1" s="1"/>
  <c r="H28" i="1" a="1"/>
  <c r="H28" i="1"/>
  <c r="F28" i="1" s="1"/>
  <c r="G28" i="1" s="1"/>
  <c r="AK27" i="1"/>
  <c r="AE27" i="1"/>
  <c r="AB27" i="1"/>
  <c r="AA27" i="1"/>
  <c r="AC27" i="1" s="1"/>
  <c r="AD27" i="1" s="1"/>
  <c r="X27" i="1"/>
  <c r="W27" i="1"/>
  <c r="W30" i="1" s="1"/>
  <c r="R27" i="1" a="1"/>
  <c r="R27" i="1" s="1"/>
  <c r="U27" i="1" s="1"/>
  <c r="U30" i="1" s="1"/>
  <c r="Q27" i="1"/>
  <c r="P27" i="1"/>
  <c r="O27" i="1"/>
  <c r="N27" i="1"/>
  <c r="K27" i="1"/>
  <c r="K30" i="1" s="1"/>
  <c r="H27" i="1" a="1"/>
  <c r="H27" i="1" s="1"/>
  <c r="F27" i="1" s="1"/>
  <c r="AE26" i="1"/>
  <c r="V26" i="1"/>
  <c r="O26" i="1"/>
  <c r="N26" i="1"/>
  <c r="M26" i="1"/>
  <c r="J26" i="1"/>
  <c r="I26" i="1"/>
  <c r="Q26" i="1" s="1"/>
  <c r="H26" i="1" a="1"/>
  <c r="H26" i="1"/>
  <c r="E26" i="1"/>
  <c r="AK25" i="1"/>
  <c r="AE25" i="1"/>
  <c r="AA25" i="1"/>
  <c r="X25" i="1"/>
  <c r="W25" i="1"/>
  <c r="U25" i="1"/>
  <c r="R25" i="1"/>
  <c r="Q25" i="1"/>
  <c r="P25" i="1"/>
  <c r="O25" i="1"/>
  <c r="N25" i="1"/>
  <c r="K25" i="1"/>
  <c r="L25" i="1" s="1"/>
  <c r="H25" i="1" a="1"/>
  <c r="H25" i="1" s="1"/>
  <c r="F25" i="1" s="1"/>
  <c r="G25" i="1" s="1"/>
  <c r="AM24" i="1"/>
  <c r="AN24" i="1" s="1"/>
  <c r="AL24" i="1"/>
  <c r="AK24" i="1"/>
  <c r="AE24" i="1"/>
  <c r="AB24" i="1"/>
  <c r="AC24" i="1" s="1"/>
  <c r="AD24" i="1" s="1"/>
  <c r="X24" i="1"/>
  <c r="W24" i="1"/>
  <c r="R24" i="1" a="1"/>
  <c r="R24" i="1"/>
  <c r="U24" i="1" s="1"/>
  <c r="Q24" i="1"/>
  <c r="AA24" i="1" s="1"/>
  <c r="P24" i="1"/>
  <c r="O24" i="1"/>
  <c r="N24" i="1"/>
  <c r="L24" i="1"/>
  <c r="K24" i="1"/>
  <c r="H24" i="1" a="1"/>
  <c r="H24" i="1"/>
  <c r="G24" i="1"/>
  <c r="F24" i="1"/>
  <c r="AK23" i="1"/>
  <c r="AM23" i="1" s="1"/>
  <c r="AN23" i="1" s="1"/>
  <c r="AF23" i="1"/>
  <c r="AE23" i="1"/>
  <c r="AA23" i="1"/>
  <c r="X23" i="1"/>
  <c r="W23" i="1"/>
  <c r="R23" i="1" a="1"/>
  <c r="R23" i="1" s="1"/>
  <c r="U23" i="1" s="1"/>
  <c r="Q23" i="1"/>
  <c r="AB23" i="1" s="1"/>
  <c r="P23" i="1"/>
  <c r="O23" i="1"/>
  <c r="N23" i="1"/>
  <c r="L23" i="1"/>
  <c r="AL23" i="1" s="1"/>
  <c r="K23" i="1"/>
  <c r="H23" i="1" a="1"/>
  <c r="H23" i="1" s="1"/>
  <c r="F23" i="1" s="1"/>
  <c r="G23" i="1" s="1"/>
  <c r="AK22" i="1"/>
  <c r="AE22" i="1"/>
  <c r="X22" i="1"/>
  <c r="W22" i="1"/>
  <c r="W26" i="1" s="1"/>
  <c r="R22" i="1" a="1"/>
  <c r="R22" i="1"/>
  <c r="U22" i="1" s="1"/>
  <c r="Q22" i="1"/>
  <c r="AA22" i="1" s="1"/>
  <c r="AA26" i="1" s="1"/>
  <c r="P22" i="1"/>
  <c r="O22" i="1"/>
  <c r="N22" i="1"/>
  <c r="L22" i="1"/>
  <c r="K22" i="1"/>
  <c r="K26" i="1" s="1"/>
  <c r="L26" i="1" s="1"/>
  <c r="H22" i="1" a="1"/>
  <c r="H22" i="1"/>
  <c r="F22" i="1" s="1"/>
  <c r="AE21" i="1"/>
  <c r="W21" i="1"/>
  <c r="V21" i="1"/>
  <c r="M21" i="1"/>
  <c r="L21" i="1"/>
  <c r="K21" i="1"/>
  <c r="J21" i="1"/>
  <c r="I21" i="1"/>
  <c r="Q21" i="1" s="1"/>
  <c r="H21" i="1" a="1"/>
  <c r="H21" i="1"/>
  <c r="E21" i="1"/>
  <c r="AK20" i="1"/>
  <c r="AE20" i="1"/>
  <c r="X20" i="1"/>
  <c r="W20" i="1"/>
  <c r="R20" i="1"/>
  <c r="U20" i="1" s="1"/>
  <c r="U21" i="1" s="1"/>
  <c r="Q20" i="1"/>
  <c r="P20" i="1"/>
  <c r="O20" i="1"/>
  <c r="N20" i="1"/>
  <c r="K20" i="1"/>
  <c r="L20" i="1" s="1"/>
  <c r="AL20" i="1" s="1"/>
  <c r="AM20" i="1" s="1"/>
  <c r="AN20" i="1" s="1"/>
  <c r="H20" i="1" a="1"/>
  <c r="H20" i="1" s="1"/>
  <c r="F20" i="1" s="1"/>
  <c r="G20" i="1" s="1"/>
  <c r="AE19" i="1"/>
  <c r="AA19" i="1"/>
  <c r="X19" i="1"/>
  <c r="W19" i="1"/>
  <c r="U19" i="1"/>
  <c r="R19" i="1" a="1"/>
  <c r="R19" i="1"/>
  <c r="Q19" i="1"/>
  <c r="P19" i="1"/>
  <c r="P21" i="1" s="1"/>
  <c r="O19" i="1"/>
  <c r="O21" i="1" s="1"/>
  <c r="N19" i="1"/>
  <c r="N21" i="1" s="1"/>
  <c r="L19" i="1"/>
  <c r="K19" i="1"/>
  <c r="H19" i="1" a="1"/>
  <c r="H19" i="1"/>
  <c r="F19" i="1"/>
  <c r="G19" i="1" s="1"/>
  <c r="AE18" i="1"/>
  <c r="V18" i="1"/>
  <c r="Q18" i="1"/>
  <c r="P18" i="1"/>
  <c r="O18" i="1"/>
  <c r="M18" i="1"/>
  <c r="J18" i="1"/>
  <c r="I18" i="1"/>
  <c r="H18" i="1" a="1"/>
  <c r="H18" i="1"/>
  <c r="E18" i="1"/>
  <c r="AE17" i="1"/>
  <c r="AA17" i="1"/>
  <c r="X17" i="1"/>
  <c r="W17" i="1"/>
  <c r="R17" i="1"/>
  <c r="U17" i="1" s="1"/>
  <c r="Q17" i="1"/>
  <c r="P17" i="1"/>
  <c r="O17" i="1"/>
  <c r="N17" i="1"/>
  <c r="L17" i="1"/>
  <c r="K17" i="1"/>
  <c r="AK16" i="1"/>
  <c r="AE16" i="1"/>
  <c r="X16" i="1"/>
  <c r="W16" i="1"/>
  <c r="U16" i="1"/>
  <c r="U18" i="1" s="1"/>
  <c r="R16" i="1"/>
  <c r="Q16" i="1"/>
  <c r="P16" i="1"/>
  <c r="O16" i="1"/>
  <c r="N16" i="1"/>
  <c r="K16" i="1"/>
  <c r="L16" i="1" s="1"/>
  <c r="AL16" i="1" s="1"/>
  <c r="AM16" i="1" s="1"/>
  <c r="AN16" i="1" s="1"/>
  <c r="H16" i="1" a="1"/>
  <c r="H16" i="1"/>
  <c r="F16" i="1" s="1"/>
  <c r="G16" i="1" s="1"/>
  <c r="AK15" i="1"/>
  <c r="AE15" i="1"/>
  <c r="AA15" i="1"/>
  <c r="X15" i="1"/>
  <c r="W15" i="1"/>
  <c r="U15" i="1"/>
  <c r="R15" i="1" a="1"/>
  <c r="R15" i="1"/>
  <c r="Q15" i="1"/>
  <c r="P15" i="1"/>
  <c r="O15" i="1"/>
  <c r="N15" i="1"/>
  <c r="N18" i="1" s="1"/>
  <c r="L15" i="1"/>
  <c r="K15" i="1"/>
  <c r="K18" i="1" s="1"/>
  <c r="H15" i="1" a="1"/>
  <c r="H15" i="1"/>
  <c r="F15" i="1"/>
  <c r="AE14" i="1"/>
  <c r="V14" i="1"/>
  <c r="Q14" i="1"/>
  <c r="P14" i="1"/>
  <c r="O14" i="1"/>
  <c r="M14" i="1"/>
  <c r="J14" i="1"/>
  <c r="I14" i="1"/>
  <c r="H14" i="1" a="1"/>
  <c r="H14" i="1" s="1"/>
  <c r="E14" i="1"/>
  <c r="AK13" i="1"/>
  <c r="AE13" i="1"/>
  <c r="AA13" i="1"/>
  <c r="X13" i="1"/>
  <c r="W13" i="1"/>
  <c r="R13" i="1"/>
  <c r="U13" i="1" s="1"/>
  <c r="Q13" i="1"/>
  <c r="P13" i="1"/>
  <c r="O13" i="1"/>
  <c r="N13" i="1"/>
  <c r="N14" i="1" s="1"/>
  <c r="L13" i="1"/>
  <c r="K13" i="1"/>
  <c r="AK12" i="1"/>
  <c r="AE12" i="1"/>
  <c r="X12" i="1"/>
  <c r="W12" i="1"/>
  <c r="W14" i="1" s="1"/>
  <c r="R12" i="1" a="1"/>
  <c r="R12" i="1" s="1"/>
  <c r="U12" i="1" s="1"/>
  <c r="Q12" i="1"/>
  <c r="AB12" i="1" s="1"/>
  <c r="P12" i="1"/>
  <c r="O12" i="1"/>
  <c r="N12" i="1"/>
  <c r="K12" i="1"/>
  <c r="L12" i="1" s="1"/>
  <c r="AL12" i="1" s="1"/>
  <c r="H12" i="1" a="1"/>
  <c r="H12" i="1" s="1"/>
  <c r="F12" i="1" s="1"/>
  <c r="AR8" i="1" a="1"/>
  <c r="AR8" i="1"/>
  <c r="AQ8" i="1" a="1"/>
  <c r="AQ8" i="1"/>
  <c r="Y8" i="1" a="1"/>
  <c r="Y8" i="1"/>
  <c r="X8" i="1" a="1"/>
  <c r="X8" i="1" s="1"/>
  <c r="W8" i="1" a="1"/>
  <c r="W8" i="1"/>
  <c r="V8" i="1" a="1"/>
  <c r="V8" i="1"/>
  <c r="U8" i="1" a="1"/>
  <c r="U8" i="1"/>
  <c r="T8" i="1" a="1"/>
  <c r="T8" i="1" s="1"/>
  <c r="S8" i="1" a="1"/>
  <c r="S8" i="1"/>
  <c r="R8" i="1" a="1"/>
  <c r="R8" i="1"/>
  <c r="Q8" i="1" a="1"/>
  <c r="Q8" i="1"/>
  <c r="P8" i="1" a="1"/>
  <c r="P8" i="1" s="1"/>
  <c r="O8" i="1" a="1"/>
  <c r="O8" i="1"/>
  <c r="N8" i="1" a="1"/>
  <c r="N8" i="1" s="1"/>
  <c r="M8" i="1" a="1"/>
  <c r="M8" i="1"/>
  <c r="L8" i="1" a="1"/>
  <c r="L8" i="1" s="1"/>
  <c r="K8" i="1" a="1"/>
  <c r="K8" i="1" s="1"/>
  <c r="J8" i="1" a="1"/>
  <c r="J8" i="1"/>
  <c r="I8" i="1" a="1"/>
  <c r="I8" i="1" s="1"/>
  <c r="H8" i="1" a="1"/>
  <c r="H8" i="1" s="1"/>
  <c r="G8" i="1" a="1"/>
  <c r="G8" i="1" s="1"/>
  <c r="F8" i="1" a="1"/>
  <c r="F8" i="1"/>
  <c r="E8" i="1" a="1"/>
  <c r="E8" i="1"/>
  <c r="D8" i="1" a="1"/>
  <c r="D8" i="1" s="1"/>
  <c r="C8" i="1" a="1"/>
  <c r="C8" i="1" s="1"/>
  <c r="B8" i="1" a="1"/>
  <c r="B8" i="1"/>
  <c r="AE7" i="1"/>
  <c r="AJ7" i="1" s="1"/>
  <c r="Y7" i="1"/>
  <c r="G22" i="1" l="1"/>
  <c r="G26" i="1" s="1"/>
  <c r="F26" i="1"/>
  <c r="U14" i="1"/>
  <c r="G12" i="1"/>
  <c r="G31" i="1"/>
  <c r="AH23" i="1"/>
  <c r="AI23" i="1" s="1"/>
  <c r="AN31" i="1"/>
  <c r="AM12" i="1"/>
  <c r="AA43" i="1"/>
  <c r="AB43" i="1" s="1"/>
  <c r="Y35" i="2" s="1"/>
  <c r="AB15" i="1"/>
  <c r="AF15" i="1"/>
  <c r="G52" i="1"/>
  <c r="G53" i="1" s="1"/>
  <c r="F53" i="1"/>
  <c r="AK26" i="1"/>
  <c r="AB28" i="1"/>
  <c r="AC28" i="1" s="1"/>
  <c r="AD28" i="1" s="1"/>
  <c r="N54" i="1"/>
  <c r="W18" i="1"/>
  <c r="W54" i="1"/>
  <c r="N30" i="1"/>
  <c r="N51" i="1"/>
  <c r="AM38" i="1"/>
  <c r="AN38" i="1" s="1"/>
  <c r="U26" i="1"/>
  <c r="AL22" i="1"/>
  <c r="G21" i="1"/>
  <c r="AF27" i="1"/>
  <c r="U38" i="1"/>
  <c r="H38" i="1" a="1"/>
  <c r="H38" i="1" s="1"/>
  <c r="F38" i="1" s="1"/>
  <c r="G38" i="1" s="1"/>
  <c r="AH48" i="1"/>
  <c r="AI48" i="1" s="1"/>
  <c r="AM39" i="1"/>
  <c r="AN39" i="1" s="1"/>
  <c r="AG16" i="1"/>
  <c r="AB17" i="1"/>
  <c r="AC17" i="1" s="1"/>
  <c r="AA20" i="1"/>
  <c r="AB22" i="1"/>
  <c r="AF25" i="1"/>
  <c r="AB25" i="1"/>
  <c r="AC25" i="1" s="1"/>
  <c r="G27" i="1"/>
  <c r="AG29" i="1"/>
  <c r="AC31" i="1"/>
  <c r="AD31" i="1" s="1"/>
  <c r="U36" i="1"/>
  <c r="U54" i="1" s="1"/>
  <c r="H36" i="1" a="1"/>
  <c r="H36" i="1" s="1"/>
  <c r="F36" i="1" s="1"/>
  <c r="G36" i="1" s="1"/>
  <c r="AB46" i="1"/>
  <c r="AA46" i="1"/>
  <c r="AF36" i="1"/>
  <c r="AG36" i="1"/>
  <c r="AB40" i="1"/>
  <c r="AA40" i="1"/>
  <c r="AC40" i="1" s="1"/>
  <c r="AD40" i="1" s="1"/>
  <c r="AM42" i="1"/>
  <c r="AN42" i="1" s="1"/>
  <c r="K54" i="1"/>
  <c r="L54" i="1" s="1"/>
  <c r="K14" i="1"/>
  <c r="L14" i="1" s="1"/>
  <c r="AK14" i="1"/>
  <c r="AG23" i="1"/>
  <c r="AA38" i="1"/>
  <c r="AB38" i="1"/>
  <c r="AG20" i="1"/>
  <c r="AH29" i="1"/>
  <c r="AI29" i="1" s="1"/>
  <c r="AH47" i="1"/>
  <c r="AI47" i="1" s="1"/>
  <c r="K53" i="1"/>
  <c r="L53" i="1" s="1"/>
  <c r="L52" i="1"/>
  <c r="AF16" i="1"/>
  <c r="AC22" i="1"/>
  <c r="AD22" i="1" s="1"/>
  <c r="L30" i="1"/>
  <c r="AG28" i="1"/>
  <c r="AH28" i="1" s="1"/>
  <c r="P51" i="1"/>
  <c r="AB19" i="1"/>
  <c r="AF19" i="1"/>
  <c r="AA21" i="1"/>
  <c r="AK19" i="1"/>
  <c r="AA41" i="1"/>
  <c r="AL13" i="1"/>
  <c r="AM13" i="1" s="1"/>
  <c r="AF20" i="1"/>
  <c r="AG47" i="1"/>
  <c r="AB13" i="1"/>
  <c r="AC13" i="1" s="1"/>
  <c r="W50" i="2"/>
  <c r="AO49" i="2"/>
  <c r="V49" i="2"/>
  <c r="AK48" i="2"/>
  <c r="AC48" i="2"/>
  <c r="U48" i="2"/>
  <c r="AJ47" i="2"/>
  <c r="AB47" i="2"/>
  <c r="T47" i="2"/>
  <c r="AO50" i="2"/>
  <c r="V50" i="2"/>
  <c r="AK49" i="2"/>
  <c r="U49" i="2"/>
  <c r="AJ48" i="2"/>
  <c r="AB48" i="2"/>
  <c r="AI47" i="2"/>
  <c r="S47" i="2"/>
  <c r="AH46" i="2"/>
  <c r="R46" i="2"/>
  <c r="H46" i="2" s="1" a="1"/>
  <c r="H46" i="2" s="1"/>
  <c r="F46" i="2" s="1"/>
  <c r="G46" i="2" s="1"/>
  <c r="AG45" i="2"/>
  <c r="X44" i="2"/>
  <c r="W43" i="2"/>
  <c r="AO42" i="2"/>
  <c r="AD42" i="2"/>
  <c r="V42" i="2"/>
  <c r="AK41" i="2"/>
  <c r="AC41" i="2"/>
  <c r="U41" i="2"/>
  <c r="AB40" i="2"/>
  <c r="AI39" i="2"/>
  <c r="S39" i="2"/>
  <c r="AH38" i="2"/>
  <c r="R38" i="2"/>
  <c r="H38" i="2" s="1" a="1"/>
  <c r="H38" i="2" s="1"/>
  <c r="F38" i="2" s="1"/>
  <c r="G38" i="2" s="1"/>
  <c r="AG37" i="2"/>
  <c r="Y37" i="2"/>
  <c r="X36" i="2"/>
  <c r="W35" i="2"/>
  <c r="AO34" i="2"/>
  <c r="V34" i="2"/>
  <c r="AC33" i="2"/>
  <c r="U33" i="2"/>
  <c r="AB32" i="2"/>
  <c r="T32" i="2"/>
  <c r="AI31" i="2"/>
  <c r="S31" i="2"/>
  <c r="AK50" i="2"/>
  <c r="U50" i="2"/>
  <c r="AJ49" i="2"/>
  <c r="AB49" i="2"/>
  <c r="T49" i="2"/>
  <c r="AI48" i="2"/>
  <c r="S48" i="2"/>
  <c r="AH47" i="2"/>
  <c r="R47" i="2"/>
  <c r="H47" i="2" s="1" a="1"/>
  <c r="H47" i="2" s="1"/>
  <c r="F47" i="2" s="1"/>
  <c r="G47" i="2" s="1"/>
  <c r="AG46" i="2"/>
  <c r="X45" i="2"/>
  <c r="W44" i="2"/>
  <c r="AO43" i="2"/>
  <c r="V43" i="2"/>
  <c r="AC42" i="2"/>
  <c r="U42" i="2"/>
  <c r="AJ41" i="2"/>
  <c r="AB41" i="2"/>
  <c r="T41" i="2"/>
  <c r="AI40" i="2"/>
  <c r="S40" i="2"/>
  <c r="AH39" i="2"/>
  <c r="R39" i="2"/>
  <c r="H39" i="2" s="1" a="1"/>
  <c r="H39" i="2" s="1"/>
  <c r="F39" i="2" s="1"/>
  <c r="G39" i="2" s="1"/>
  <c r="AG38" i="2"/>
  <c r="Y38" i="2"/>
  <c r="X37" i="2"/>
  <c r="W36" i="2"/>
  <c r="AO35" i="2"/>
  <c r="V35" i="2"/>
  <c r="U34" i="2"/>
  <c r="AB33" i="2"/>
  <c r="T33" i="2"/>
  <c r="S32" i="2"/>
  <c r="AH31" i="2"/>
  <c r="R31" i="2"/>
  <c r="H31" i="2" s="1" a="1"/>
  <c r="H31" i="2" s="1"/>
  <c r="F31" i="2" s="1"/>
  <c r="G31" i="2" s="1"/>
  <c r="AG30" i="2"/>
  <c r="X29" i="2"/>
  <c r="AE28" i="2"/>
  <c r="W28" i="2"/>
  <c r="AO27" i="2"/>
  <c r="V27" i="2"/>
  <c r="U26" i="2"/>
  <c r="AB25" i="2"/>
  <c r="T25" i="2"/>
  <c r="AI24" i="2"/>
  <c r="AA24" i="2"/>
  <c r="AJ50" i="2"/>
  <c r="AB50" i="2"/>
  <c r="T50" i="2"/>
  <c r="AI49" i="2"/>
  <c r="S49" i="2"/>
  <c r="AH48" i="2"/>
  <c r="R48" i="2"/>
  <c r="H48" i="2" s="1" a="1"/>
  <c r="H48" i="2" s="1"/>
  <c r="F48" i="2" s="1"/>
  <c r="G48" i="2" s="1"/>
  <c r="AG47" i="2"/>
  <c r="Y47" i="2"/>
  <c r="AF46" i="2"/>
  <c r="X46" i="2"/>
  <c r="W45" i="2"/>
  <c r="AO44" i="2"/>
  <c r="V44" i="2"/>
  <c r="U43" i="2"/>
  <c r="AB42" i="2"/>
  <c r="T42" i="2"/>
  <c r="AI41" i="2"/>
  <c r="S41" i="2"/>
  <c r="AH40" i="2"/>
  <c r="R40" i="2"/>
  <c r="H40" i="2" s="1" a="1"/>
  <c r="H40" i="2" s="1"/>
  <c r="F40" i="2" s="1"/>
  <c r="G40" i="2" s="1"/>
  <c r="AG39" i="2"/>
  <c r="X38" i="2"/>
  <c r="W37" i="2"/>
  <c r="AO36" i="2"/>
  <c r="AD36" i="2"/>
  <c r="V36" i="2"/>
  <c r="U35" i="2"/>
  <c r="AB34" i="2"/>
  <c r="T34" i="2"/>
  <c r="AA33" i="2"/>
  <c r="S33" i="2"/>
  <c r="AI50" i="2"/>
  <c r="S50" i="2"/>
  <c r="AH49" i="2"/>
  <c r="R49" i="2"/>
  <c r="H49" i="2" s="1" a="1"/>
  <c r="H49" i="2" s="1"/>
  <c r="F49" i="2" s="1"/>
  <c r="G49" i="2" s="1"/>
  <c r="AG48" i="2"/>
  <c r="AF47" i="2"/>
  <c r="X47" i="2"/>
  <c r="AE46" i="2"/>
  <c r="W46" i="2"/>
  <c r="AO45" i="2"/>
  <c r="AD45" i="2"/>
  <c r="V45" i="2"/>
  <c r="AH50" i="2"/>
  <c r="R50" i="2"/>
  <c r="H50" i="2" s="1" a="1"/>
  <c r="H50" i="2" s="1"/>
  <c r="F50" i="2" s="1"/>
  <c r="G50" i="2" s="1"/>
  <c r="AG49" i="2"/>
  <c r="AE47" i="2"/>
  <c r="W47" i="2"/>
  <c r="AO46" i="2"/>
  <c r="AD46" i="2"/>
  <c r="V46" i="2"/>
  <c r="AK45" i="2"/>
  <c r="AC45" i="2"/>
  <c r="U45" i="2"/>
  <c r="AB44" i="2"/>
  <c r="S43" i="2"/>
  <c r="AH42" i="2"/>
  <c r="R42" i="2"/>
  <c r="H42" i="2" s="1" a="1"/>
  <c r="H42" i="2" s="1"/>
  <c r="F42" i="2" s="1"/>
  <c r="G42" i="2" s="1"/>
  <c r="AG41" i="2"/>
  <c r="W39" i="2"/>
  <c r="AO38" i="2"/>
  <c r="V38" i="2"/>
  <c r="AC37" i="2"/>
  <c r="U37" i="2"/>
  <c r="AJ36" i="2"/>
  <c r="AB36" i="2"/>
  <c r="T36" i="2"/>
  <c r="AI35" i="2"/>
  <c r="S35" i="2"/>
  <c r="AG50" i="2"/>
  <c r="Y50" i="2"/>
  <c r="X49" i="2"/>
  <c r="W48" i="2"/>
  <c r="AO47" i="2"/>
  <c r="AD47" i="2"/>
  <c r="V47" i="2"/>
  <c r="AC46" i="2"/>
  <c r="U46" i="2"/>
  <c r="AJ45" i="2"/>
  <c r="AB45" i="2"/>
  <c r="T45" i="2"/>
  <c r="S44" i="2"/>
  <c r="R43" i="2"/>
  <c r="H43" i="2" s="1" a="1"/>
  <c r="H43" i="2" s="1"/>
  <c r="F43" i="2" s="1"/>
  <c r="G43" i="2" s="1"/>
  <c r="AG42" i="2"/>
  <c r="AF41" i="2"/>
  <c r="X41" i="2"/>
  <c r="W40" i="2"/>
  <c r="AO39" i="2"/>
  <c r="AD39" i="2"/>
  <c r="V39" i="2"/>
  <c r="AC38" i="2"/>
  <c r="U38" i="2"/>
  <c r="AB37" i="2"/>
  <c r="T37" i="2"/>
  <c r="AI36" i="2"/>
  <c r="AA36" i="2"/>
  <c r="S36" i="2"/>
  <c r="AH35" i="2"/>
  <c r="R35" i="2"/>
  <c r="AG34" i="2"/>
  <c r="Y34" i="2"/>
  <c r="X33" i="2"/>
  <c r="W32" i="2"/>
  <c r="AO31" i="2"/>
  <c r="V31" i="2"/>
  <c r="AC30" i="2"/>
  <c r="U30" i="2"/>
  <c r="AJ29" i="2"/>
  <c r="AB29" i="2"/>
  <c r="AI28" i="2"/>
  <c r="W49" i="2"/>
  <c r="AO48" i="2"/>
  <c r="V48" i="2"/>
  <c r="AK47" i="2"/>
  <c r="AC47" i="2"/>
  <c r="U47" i="2"/>
  <c r="AB46" i="2"/>
  <c r="T46" i="2"/>
  <c r="AI45" i="2"/>
  <c r="S45" i="2"/>
  <c r="AH44" i="2"/>
  <c r="R44" i="2"/>
  <c r="H44" i="2" s="1" a="1"/>
  <c r="H44" i="2" s="1"/>
  <c r="F44" i="2" s="1"/>
  <c r="G44" i="2" s="1"/>
  <c r="AG43" i="2"/>
  <c r="Y43" i="2"/>
  <c r="AE41" i="2"/>
  <c r="W41" i="2"/>
  <c r="AO40" i="2"/>
  <c r="V40" i="2"/>
  <c r="AK39" i="2"/>
  <c r="AC39" i="2"/>
  <c r="U39" i="2"/>
  <c r="AB38" i="2"/>
  <c r="T38" i="2"/>
  <c r="S37" i="2"/>
  <c r="Y44" i="2"/>
  <c r="S42" i="2"/>
  <c r="AO41" i="2"/>
  <c r="S38" i="2"/>
  <c r="AO37" i="2"/>
  <c r="AC36" i="2"/>
  <c r="AO33" i="2"/>
  <c r="V33" i="2"/>
  <c r="AB31" i="2"/>
  <c r="X30" i="2"/>
  <c r="AI29" i="2"/>
  <c r="Y29" i="2"/>
  <c r="AK28" i="2"/>
  <c r="U27" i="2"/>
  <c r="AD25" i="2"/>
  <c r="U25" i="2"/>
  <c r="AH24" i="2"/>
  <c r="Y24" i="2"/>
  <c r="X23" i="2"/>
  <c r="W22" i="2"/>
  <c r="AO21" i="2"/>
  <c r="V21" i="2"/>
  <c r="AK20" i="2"/>
  <c r="U20" i="2"/>
  <c r="AJ19" i="2"/>
  <c r="AB19" i="2"/>
  <c r="T19" i="2"/>
  <c r="AI18" i="2"/>
  <c r="AA18" i="2"/>
  <c r="S18" i="2"/>
  <c r="AH17" i="2"/>
  <c r="R17" i="2"/>
  <c r="AG16" i="2"/>
  <c r="Y16" i="2"/>
  <c r="U44" i="2"/>
  <c r="AH41" i="2"/>
  <c r="U40" i="2"/>
  <c r="AJ39" i="2"/>
  <c r="AH37" i="2"/>
  <c r="Z36" i="2"/>
  <c r="AB35" i="2"/>
  <c r="AH33" i="2"/>
  <c r="R33" i="2"/>
  <c r="AC32" i="2"/>
  <c r="AH30" i="2"/>
  <c r="W30" i="2"/>
  <c r="AH29" i="2"/>
  <c r="W29" i="2"/>
  <c r="AJ28" i="2"/>
  <c r="T27" i="2"/>
  <c r="AH26" i="2"/>
  <c r="Y26" i="2"/>
  <c r="AO25" i="2"/>
  <c r="AC25" i="2"/>
  <c r="S25" i="2"/>
  <c r="AG24" i="2"/>
  <c r="X24" i="2"/>
  <c r="W23" i="2"/>
  <c r="AO22" i="2"/>
  <c r="V22" i="2"/>
  <c r="AK21" i="2"/>
  <c r="AC21" i="2"/>
  <c r="U21" i="2"/>
  <c r="AJ20" i="2"/>
  <c r="AB20" i="2"/>
  <c r="T20" i="2"/>
  <c r="AI19" i="2"/>
  <c r="S19" i="2"/>
  <c r="AH18" i="2"/>
  <c r="Z18" i="2"/>
  <c r="R18" i="2"/>
  <c r="AG17" i="2"/>
  <c r="Y17" i="2"/>
  <c r="X16" i="2"/>
  <c r="AD41" i="2"/>
  <c r="Y36" i="2"/>
  <c r="AG33" i="2"/>
  <c r="AK31" i="2"/>
  <c r="X31" i="2"/>
  <c r="V30" i="2"/>
  <c r="AG29" i="2"/>
  <c r="V29" i="2"/>
  <c r="AH28" i="2"/>
  <c r="X28" i="2"/>
  <c r="AK27" i="2"/>
  <c r="AB27" i="2"/>
  <c r="S27" i="2"/>
  <c r="AG26" i="2"/>
  <c r="X26" i="2"/>
  <c r="AA25" i="2"/>
  <c r="R25" i="2"/>
  <c r="H25" i="2" s="1" a="1"/>
  <c r="H25" i="2" s="1"/>
  <c r="F25" i="2" s="1"/>
  <c r="G25" i="2" s="1"/>
  <c r="W24" i="2"/>
  <c r="AO23" i="2"/>
  <c r="V23" i="2"/>
  <c r="AK22" i="2"/>
  <c r="U22" i="2"/>
  <c r="AJ21" i="2"/>
  <c r="AB21" i="2"/>
  <c r="T21" i="2"/>
  <c r="AI20" i="2"/>
  <c r="AA20" i="2"/>
  <c r="S20" i="2"/>
  <c r="AH19" i="2"/>
  <c r="R19" i="2"/>
  <c r="AG18" i="2"/>
  <c r="Y18" i="2"/>
  <c r="AF17" i="2"/>
  <c r="X17" i="2"/>
  <c r="W16" i="2"/>
  <c r="AB43" i="2"/>
  <c r="W42" i="2"/>
  <c r="W38" i="2"/>
  <c r="AG36" i="2"/>
  <c r="AG35" i="2"/>
  <c r="W33" i="2"/>
  <c r="R32" i="2"/>
  <c r="AK29" i="2"/>
  <c r="Z29" i="2"/>
  <c r="AO28" i="2"/>
  <c r="AB28" i="2"/>
  <c r="R28" i="2"/>
  <c r="H28" i="2" s="1" a="1"/>
  <c r="H28" i="2" s="1"/>
  <c r="F28" i="2" s="1"/>
  <c r="G28" i="2" s="1"/>
  <c r="W27" i="2"/>
  <c r="R26" i="2"/>
  <c r="H26" i="2" s="1" a="1"/>
  <c r="H26" i="2" s="1"/>
  <c r="F26" i="2" s="1"/>
  <c r="G26" i="2" s="1"/>
  <c r="V25" i="2"/>
  <c r="AJ24" i="2"/>
  <c r="Z24" i="2"/>
  <c r="R24" i="2"/>
  <c r="H24" i="2" s="1" a="1"/>
  <c r="H24" i="2" s="1"/>
  <c r="F24" i="2" s="1"/>
  <c r="G24" i="2" s="1"/>
  <c r="AG23" i="2"/>
  <c r="X22" i="2"/>
  <c r="W21" i="2"/>
  <c r="AO20" i="2"/>
  <c r="V20" i="2"/>
  <c r="U19" i="2"/>
  <c r="AJ18" i="2"/>
  <c r="AB18" i="2"/>
  <c r="T18" i="2"/>
  <c r="AI17" i="2"/>
  <c r="S17" i="2"/>
  <c r="AH16" i="2"/>
  <c r="Z16" i="2"/>
  <c r="R16" i="2"/>
  <c r="AG40" i="2"/>
  <c r="R34" i="2"/>
  <c r="H34" i="2" s="1" a="1"/>
  <c r="H34" i="2" s="1"/>
  <c r="F34" i="2" s="1"/>
  <c r="G34" i="2" s="1"/>
  <c r="AG32" i="2"/>
  <c r="T30" i="2"/>
  <c r="U29" i="2"/>
  <c r="V28" i="2"/>
  <c r="AB26" i="2"/>
  <c r="Z25" i="2"/>
  <c r="AC24" i="2"/>
  <c r="AH23" i="2"/>
  <c r="R23" i="2"/>
  <c r="Y22" i="2"/>
  <c r="AA21" i="2"/>
  <c r="AG20" i="2"/>
  <c r="W19" i="2"/>
  <c r="AJ17" i="2"/>
  <c r="T17" i="2"/>
  <c r="AO16" i="2"/>
  <c r="V16" i="2"/>
  <c r="T39" i="2"/>
  <c r="X35" i="2"/>
  <c r="Y32" i="2"/>
  <c r="W31" i="2"/>
  <c r="S30" i="2"/>
  <c r="S29" i="2"/>
  <c r="U28" i="2"/>
  <c r="Y27" i="2"/>
  <c r="W26" i="2"/>
  <c r="Y25" i="2"/>
  <c r="AB24" i="2"/>
  <c r="AJ22" i="2"/>
  <c r="T22" i="2"/>
  <c r="Z21" i="2"/>
  <c r="AO19" i="2"/>
  <c r="V19" i="2"/>
  <c r="X18" i="2"/>
  <c r="AE17" i="2"/>
  <c r="U16" i="2"/>
  <c r="V37" i="2"/>
  <c r="T35" i="2"/>
  <c r="X32" i="2"/>
  <c r="U31" i="2"/>
  <c r="R30" i="2"/>
  <c r="H30" i="2" s="1" a="1"/>
  <c r="H30" i="2" s="1"/>
  <c r="F30" i="2" s="1"/>
  <c r="G30" i="2" s="1"/>
  <c r="R29" i="2"/>
  <c r="H29" i="2" s="1" a="1"/>
  <c r="H29" i="2" s="1"/>
  <c r="F29" i="2" s="1"/>
  <c r="G29" i="2" s="1"/>
  <c r="T28" i="2"/>
  <c r="X27" i="2"/>
  <c r="V26" i="2"/>
  <c r="X25" i="2"/>
  <c r="V24" i="2"/>
  <c r="AB23" i="2"/>
  <c r="AI22" i="2"/>
  <c r="S22" i="2"/>
  <c r="Y21" i="2"/>
  <c r="AG19" i="2"/>
  <c r="W18" i="2"/>
  <c r="AD17" i="2"/>
  <c r="T16" i="2"/>
  <c r="R41" i="2"/>
  <c r="H41" i="2" s="1" a="1"/>
  <c r="H41" i="2" s="1"/>
  <c r="F41" i="2" s="1"/>
  <c r="G41" i="2" s="1"/>
  <c r="AK40" i="2"/>
  <c r="AB39" i="2"/>
  <c r="S34" i="2"/>
  <c r="AH32" i="2"/>
  <c r="AA29" i="2"/>
  <c r="AC28" i="2"/>
  <c r="AI23" i="2"/>
  <c r="S23" i="2"/>
  <c r="Z22" i="2"/>
  <c r="AH20" i="2"/>
  <c r="R20" i="2"/>
  <c r="AK17" i="2"/>
  <c r="U17" i="2"/>
  <c r="AA16" i="2"/>
  <c r="AH36" i="2"/>
  <c r="V32" i="2"/>
  <c r="AD28" i="2"/>
  <c r="AI27" i="2"/>
  <c r="W25" i="2"/>
  <c r="AO24" i="2"/>
  <c r="U23" i="2"/>
  <c r="X21" i="2"/>
  <c r="V18" i="2"/>
  <c r="AO17" i="2"/>
  <c r="U36" i="2"/>
  <c r="U32" i="2"/>
  <c r="S28" i="2"/>
  <c r="AH27" i="2"/>
  <c r="AK24" i="2"/>
  <c r="T23" i="2"/>
  <c r="AH22" i="2"/>
  <c r="S21" i="2"/>
  <c r="U18" i="2"/>
  <c r="AB22" i="2"/>
  <c r="S16" i="2"/>
  <c r="R36" i="2"/>
  <c r="AI34" i="2"/>
  <c r="AJ31" i="2"/>
  <c r="AO30" i="2"/>
  <c r="AG27" i="2"/>
  <c r="AO26" i="2"/>
  <c r="AG22" i="2"/>
  <c r="R21" i="2"/>
  <c r="Y19" i="2"/>
  <c r="AB16" i="2"/>
  <c r="AH45" i="2"/>
  <c r="AH34" i="2"/>
  <c r="AG31" i="2"/>
  <c r="AO29" i="2"/>
  <c r="R27" i="2"/>
  <c r="H27" i="2" s="1" a="1"/>
  <c r="H27" i="2" s="1"/>
  <c r="F27" i="2" s="1"/>
  <c r="G27" i="2" s="1"/>
  <c r="U24" i="2"/>
  <c r="S46" i="2"/>
  <c r="X43" i="2"/>
  <c r="X34" i="2"/>
  <c r="Z33" i="2"/>
  <c r="T31" i="2"/>
  <c r="AD30" i="2"/>
  <c r="T24" i="2"/>
  <c r="AA22" i="2"/>
  <c r="Z20" i="2"/>
  <c r="AO18" i="2"/>
  <c r="AC17" i="2"/>
  <c r="R45" i="2"/>
  <c r="H45" i="2" s="1" a="1"/>
  <c r="H45" i="2" s="1"/>
  <c r="F45" i="2" s="1"/>
  <c r="G45" i="2" s="1"/>
  <c r="AG44" i="2"/>
  <c r="T43" i="2"/>
  <c r="W34" i="2"/>
  <c r="Y33" i="2"/>
  <c r="AB30" i="2"/>
  <c r="T26" i="2"/>
  <c r="AI25" i="2"/>
  <c r="S24" i="2"/>
  <c r="AJ23" i="2"/>
  <c r="R22" i="2"/>
  <c r="AI21" i="2"/>
  <c r="Y20" i="2"/>
  <c r="AK18" i="2"/>
  <c r="AB17" i="2"/>
  <c r="AA42" i="2"/>
  <c r="V41" i="2"/>
  <c r="AO32" i="2"/>
  <c r="AG28" i="2"/>
  <c r="S26" i="2"/>
  <c r="AH25" i="2"/>
  <c r="AH21" i="2"/>
  <c r="X20" i="2"/>
  <c r="W17" i="2"/>
  <c r="R37" i="2"/>
  <c r="AK36" i="2"/>
  <c r="AF28" i="2"/>
  <c r="AJ27" i="2"/>
  <c r="AG25" i="2"/>
  <c r="Z23" i="2"/>
  <c r="AG21" i="2"/>
  <c r="W20" i="2"/>
  <c r="V17" i="2"/>
  <c r="AI16" i="2"/>
  <c r="AB14" i="1"/>
  <c r="AF12" i="1"/>
  <c r="AC19" i="2" s="1"/>
  <c r="O54" i="1"/>
  <c r="L18" i="1"/>
  <c r="AA16" i="1"/>
  <c r="AA18" i="1" s="1"/>
  <c r="P26" i="1"/>
  <c r="AC23" i="1"/>
  <c r="AD23" i="1" s="1"/>
  <c r="AA17" i="2" s="1"/>
  <c r="L27" i="1"/>
  <c r="AL27" i="1" s="1"/>
  <c r="AL30" i="1" s="1"/>
  <c r="AF34" i="1"/>
  <c r="AB39" i="1"/>
  <c r="Y28" i="2" s="1"/>
  <c r="AF40" i="1"/>
  <c r="AG40" i="1" s="1"/>
  <c r="AD29" i="2" s="1"/>
  <c r="AG41" i="1"/>
  <c r="AH41" i="1" s="1"/>
  <c r="AA45" i="1"/>
  <c r="AC45" i="1" s="1"/>
  <c r="AD45" i="1" s="1"/>
  <c r="AB45" i="1"/>
  <c r="Y42" i="2" s="1"/>
  <c r="AG49" i="1"/>
  <c r="AH49" i="1" s="1"/>
  <c r="F21" i="1"/>
  <c r="O51" i="1"/>
  <c r="AK51" i="1"/>
  <c r="AM34" i="1"/>
  <c r="AN34" i="1" s="1"/>
  <c r="AK23" i="2" s="1"/>
  <c r="AL37" i="1"/>
  <c r="AL51" i="1" s="1"/>
  <c r="AM37" i="1"/>
  <c r="AN37" i="1" s="1"/>
  <c r="AK26" i="2" s="1"/>
  <c r="AF38" i="1"/>
  <c r="AC27" i="2" s="1"/>
  <c r="U44" i="1"/>
  <c r="T40" i="2" s="1"/>
  <c r="H44" i="1" a="1"/>
  <c r="H44" i="1" s="1"/>
  <c r="F44" i="1" s="1"/>
  <c r="G44" i="1" s="1"/>
  <c r="AH45" i="1"/>
  <c r="AI45" i="1" s="1"/>
  <c r="AF42" i="2" s="1"/>
  <c r="AB47" i="1"/>
  <c r="Y46" i="2" s="1"/>
  <c r="AC50" i="1"/>
  <c r="AD50" i="1" s="1"/>
  <c r="AA49" i="2" s="1"/>
  <c r="AF50" i="1"/>
  <c r="AC49" i="2" s="1"/>
  <c r="AB34" i="1"/>
  <c r="AC34" i="1" s="1"/>
  <c r="AD34" i="1" s="1"/>
  <c r="AA23" i="2" s="1"/>
  <c r="AB42" i="1"/>
  <c r="Y31" i="2" s="1"/>
  <c r="G15" i="1"/>
  <c r="AL15" i="1"/>
  <c r="AF22" i="1"/>
  <c r="AF24" i="1"/>
  <c r="AG24" i="1" s="1"/>
  <c r="AD22" i="2" s="1"/>
  <c r="AL25" i="1"/>
  <c r="AI38" i="2" s="1"/>
  <c r="AB29" i="1"/>
  <c r="AC29" i="1" s="1"/>
  <c r="K51" i="1"/>
  <c r="L51" i="1" s="1"/>
  <c r="AF31" i="1"/>
  <c r="AF32" i="1"/>
  <c r="AF37" i="1"/>
  <c r="AG37" i="1" s="1"/>
  <c r="AD26" i="2" s="1"/>
  <c r="U40" i="1"/>
  <c r="U51" i="1" s="1"/>
  <c r="U46" i="1"/>
  <c r="T44" i="2" s="1"/>
  <c r="AM47" i="1"/>
  <c r="AN47" i="1" s="1"/>
  <c r="AK46" i="2" s="1"/>
  <c r="AL47" i="1"/>
  <c r="AI46" i="2" s="1"/>
  <c r="U49" i="1"/>
  <c r="T48" i="2" s="1"/>
  <c r="H49" i="1" a="1"/>
  <c r="H49" i="1" s="1"/>
  <c r="F49" i="1" s="1"/>
  <c r="G49" i="1" s="1"/>
  <c r="AM36" i="1"/>
  <c r="AN36" i="1" s="1"/>
  <c r="AK25" i="2" s="1"/>
  <c r="AA49" i="1"/>
  <c r="AB49" i="1"/>
  <c r="Y48" i="2" s="1"/>
  <c r="H13" i="1" a="1"/>
  <c r="H13" i="1" s="1"/>
  <c r="F13" i="1" s="1"/>
  <c r="G13" i="1" s="1"/>
  <c r="AF13" i="1"/>
  <c r="H17" i="1" a="1"/>
  <c r="H17" i="1" s="1"/>
  <c r="F17" i="1" s="1"/>
  <c r="G17" i="1" s="1"/>
  <c r="AF17" i="1"/>
  <c r="P30" i="1"/>
  <c r="AA30" i="1"/>
  <c r="AK30" i="1"/>
  <c r="W51" i="1"/>
  <c r="AC37" i="1"/>
  <c r="AD37" i="1" s="1"/>
  <c r="AA26" i="2" s="1"/>
  <c r="AL41" i="1"/>
  <c r="AI30" i="2" s="1"/>
  <c r="AG35" i="1"/>
  <c r="AH35" i="1" s="1"/>
  <c r="AA12" i="1"/>
  <c r="X19" i="2" s="1"/>
  <c r="P54" i="1"/>
  <c r="H29" i="1" a="1"/>
  <c r="H29" i="1" s="1"/>
  <c r="F29" i="1" s="1"/>
  <c r="G29" i="1" s="1"/>
  <c r="AG33" i="1"/>
  <c r="AH33" i="1" s="1"/>
  <c r="AF42" i="1"/>
  <c r="AC31" i="2" s="1"/>
  <c r="AB44" i="1"/>
  <c r="Y40" i="2" s="1"/>
  <c r="AA44" i="1"/>
  <c r="AF44" i="1" s="1"/>
  <c r="AM43" i="1"/>
  <c r="AN43" i="1" s="1"/>
  <c r="AK35" i="2" s="1"/>
  <c r="AM44" i="1"/>
  <c r="AN44" i="1" s="1"/>
  <c r="Q51" i="1"/>
  <c r="AG6" i="2"/>
  <c r="N51" i="2"/>
  <c r="AL46" i="1"/>
  <c r="AM46" i="1" s="1"/>
  <c r="AN46" i="1" s="1"/>
  <c r="AK44" i="2" s="1"/>
  <c r="Q54" i="1"/>
  <c r="F51" i="2"/>
  <c r="G16" i="2"/>
  <c r="AB50" i="1"/>
  <c r="Y49" i="2" s="1"/>
  <c r="K51" i="2"/>
  <c r="L51" i="2" s="1"/>
  <c r="AL45" i="1"/>
  <c r="AM45" i="1" s="1"/>
  <c r="AN45" i="1" s="1"/>
  <c r="AK42" i="2" s="1"/>
  <c r="AC48" i="1"/>
  <c r="AD48" i="1" s="1"/>
  <c r="AA47" i="2" s="1"/>
  <c r="L16" i="2"/>
  <c r="O51" i="2"/>
  <c r="AA52" i="1"/>
  <c r="AF52" i="1" s="1"/>
  <c r="P51" i="2"/>
  <c r="AD29" i="1" l="1"/>
  <c r="AA41" i="2" s="1"/>
  <c r="Z41" i="2"/>
  <c r="AF53" i="1"/>
  <c r="AC50" i="2"/>
  <c r="AG52" i="1"/>
  <c r="AI49" i="1"/>
  <c r="AF48" i="2" s="1"/>
  <c r="AE48" i="2"/>
  <c r="AD13" i="1"/>
  <c r="AA34" i="2" s="1"/>
  <c r="Z34" i="2"/>
  <c r="AD17" i="1"/>
  <c r="AA43" i="2" s="1"/>
  <c r="Z43" i="2"/>
  <c r="AI28" i="1"/>
  <c r="AF36" i="2" s="1"/>
  <c r="AE36" i="2"/>
  <c r="AI41" i="1"/>
  <c r="AF30" i="2" s="1"/>
  <c r="AE30" i="2"/>
  <c r="AN13" i="1"/>
  <c r="AK34" i="2" s="1"/>
  <c r="AJ34" i="2"/>
  <c r="AD25" i="1"/>
  <c r="AA38" i="2" s="1"/>
  <c r="Z38" i="2"/>
  <c r="AI35" i="1"/>
  <c r="AF24" i="2" s="1"/>
  <c r="AE24" i="2"/>
  <c r="AH44" i="1"/>
  <c r="AC40" i="2"/>
  <c r="AG44" i="1"/>
  <c r="AD40" i="2" s="1"/>
  <c r="AI33" i="1"/>
  <c r="AF21" i="2" s="1"/>
  <c r="AE21" i="2"/>
  <c r="AD24" i="2"/>
  <c r="AC22" i="2"/>
  <c r="AD21" i="2"/>
  <c r="AD48" i="2"/>
  <c r="T29" i="2"/>
  <c r="AC26" i="2"/>
  <c r="AI32" i="2"/>
  <c r="AM25" i="1"/>
  <c r="F30" i="1"/>
  <c r="F54" i="1"/>
  <c r="AH31" i="1"/>
  <c r="AH24" i="1"/>
  <c r="AC18" i="2"/>
  <c r="Y23" i="2"/>
  <c r="AI44" i="2"/>
  <c r="Y41" i="2"/>
  <c r="AC41" i="1"/>
  <c r="AL26" i="1"/>
  <c r="G54" i="1"/>
  <c r="G14" i="1"/>
  <c r="AC49" i="1"/>
  <c r="AA51" i="1"/>
  <c r="AC42" i="1"/>
  <c r="G51" i="2"/>
  <c r="AA54" i="1"/>
  <c r="AA14" i="1"/>
  <c r="AC14" i="1" s="1"/>
  <c r="AD14" i="1" s="1"/>
  <c r="AC12" i="1"/>
  <c r="AF26" i="1"/>
  <c r="AC47" i="1"/>
  <c r="AF14" i="1"/>
  <c r="AC29" i="2"/>
  <c r="AJ35" i="2"/>
  <c r="AJ26" i="2"/>
  <c r="Z26" i="2"/>
  <c r="AB41" i="1"/>
  <c r="Y30" i="2" s="1"/>
  <c r="AH16" i="1"/>
  <c r="AG25" i="1"/>
  <c r="AD38" i="2" s="1"/>
  <c r="AH25" i="1"/>
  <c r="AM41" i="1"/>
  <c r="AM51" i="1" s="1"/>
  <c r="AN51" i="1" s="1"/>
  <c r="F14" i="1"/>
  <c r="AI26" i="2"/>
  <c r="AJ46" i="2"/>
  <c r="AJ44" i="2"/>
  <c r="AJ40" i="2"/>
  <c r="AC39" i="1"/>
  <c r="AG12" i="1"/>
  <c r="AH12" i="1" s="1"/>
  <c r="AG22" i="1"/>
  <c r="AC43" i="1"/>
  <c r="AF43" i="1"/>
  <c r="AC52" i="1"/>
  <c r="AA53" i="1"/>
  <c r="AC53" i="1" s="1"/>
  <c r="AD53" i="1" s="1"/>
  <c r="AK17" i="1"/>
  <c r="AH40" i="1"/>
  <c r="AC44" i="1"/>
  <c r="G18" i="1"/>
  <c r="AG17" i="1"/>
  <c r="AD43" i="2" s="1"/>
  <c r="AE42" i="2"/>
  <c r="AI42" i="2"/>
  <c r="U51" i="2"/>
  <c r="X39" i="2"/>
  <c r="X51" i="2" s="1"/>
  <c r="Z17" i="2"/>
  <c r="X50" i="2"/>
  <c r="Z42" i="2"/>
  <c r="X48" i="2"/>
  <c r="AI33" i="2"/>
  <c r="AJ42" i="2"/>
  <c r="AM19" i="1"/>
  <c r="AK21" i="1"/>
  <c r="AL19" i="1"/>
  <c r="AC38" i="1"/>
  <c r="AB26" i="1"/>
  <c r="AC26" i="1" s="1"/>
  <c r="AD26" i="1" s="1"/>
  <c r="AB30" i="1"/>
  <c r="AC30" i="1" s="1"/>
  <c r="AD30" i="1" s="1"/>
  <c r="AG27" i="1"/>
  <c r="AH37" i="1"/>
  <c r="AC20" i="2"/>
  <c r="Z49" i="2"/>
  <c r="AC34" i="2"/>
  <c r="F18" i="1"/>
  <c r="AC20" i="1"/>
  <c r="AM22" i="1"/>
  <c r="G51" i="1"/>
  <c r="T51" i="2"/>
  <c r="AG42" i="1"/>
  <c r="AD31" i="2" s="1"/>
  <c r="AH42" i="1"/>
  <c r="AG38" i="1"/>
  <c r="AD27" i="2" s="1"/>
  <c r="AG34" i="1"/>
  <c r="AD23" i="2" s="1"/>
  <c r="AB16" i="1"/>
  <c r="AC16" i="2"/>
  <c r="AC23" i="2"/>
  <c r="AC43" i="2"/>
  <c r="AJ25" i="2"/>
  <c r="Z47" i="2"/>
  <c r="AH20" i="1"/>
  <c r="AG19" i="1"/>
  <c r="AF21" i="1"/>
  <c r="AH19" i="1"/>
  <c r="AH36" i="1"/>
  <c r="AM27" i="1"/>
  <c r="AB20" i="1"/>
  <c r="Y45" i="2" s="1"/>
  <c r="AG32" i="1"/>
  <c r="AD20" i="2" s="1"/>
  <c r="AG13" i="1"/>
  <c r="AD34" i="2" s="1"/>
  <c r="AF18" i="1"/>
  <c r="AH15" i="1"/>
  <c r="AG15" i="1"/>
  <c r="AL14" i="1"/>
  <c r="F51" i="1"/>
  <c r="AG50" i="1"/>
  <c r="AD49" i="2" s="1"/>
  <c r="AG31" i="1"/>
  <c r="AM15" i="1"/>
  <c r="X42" i="2"/>
  <c r="X40" i="2"/>
  <c r="AC19" i="1"/>
  <c r="AC46" i="1"/>
  <c r="AF46" i="1"/>
  <c r="G30" i="1"/>
  <c r="AH27" i="1"/>
  <c r="AF30" i="1"/>
  <c r="AC15" i="1"/>
  <c r="AM14" i="1"/>
  <c r="AN14" i="1" s="1"/>
  <c r="AN12" i="1"/>
  <c r="AK19" i="2" s="1"/>
  <c r="AI12" i="1" l="1"/>
  <c r="AF19" i="2" s="1"/>
  <c r="AE19" i="2"/>
  <c r="AH46" i="1"/>
  <c r="AG46" i="1"/>
  <c r="AD44" i="2" s="1"/>
  <c r="AC44" i="2"/>
  <c r="AI20" i="1"/>
  <c r="AF45" i="2" s="1"/>
  <c r="AE45" i="2"/>
  <c r="AB54" i="1"/>
  <c r="Y39" i="2"/>
  <c r="Y51" i="2" s="1"/>
  <c r="AI37" i="1"/>
  <c r="AF26" i="2" s="1"/>
  <c r="AE26" i="2"/>
  <c r="AC54" i="1"/>
  <c r="AD54" i="1" s="1"/>
  <c r="AI44" i="1"/>
  <c r="AF40" i="2" s="1"/>
  <c r="AE40" i="2"/>
  <c r="AD52" i="1"/>
  <c r="AA50" i="2" s="1"/>
  <c r="Z50" i="2"/>
  <c r="AI36" i="1"/>
  <c r="AF25" i="2" s="1"/>
  <c r="AE25" i="2"/>
  <c r="AI27" i="1"/>
  <c r="AF33" i="2" s="1"/>
  <c r="AH30" i="1"/>
  <c r="AI30" i="1" s="1"/>
  <c r="AE33" i="2"/>
  <c r="AN15" i="1"/>
  <c r="AK32" i="2" s="1"/>
  <c r="AJ32" i="2"/>
  <c r="AH18" i="1"/>
  <c r="AI18" i="1" s="1"/>
  <c r="AI15" i="1"/>
  <c r="AF32" i="2" s="1"/>
  <c r="AE32" i="2"/>
  <c r="AH17" i="1"/>
  <c r="AI25" i="1"/>
  <c r="AF38" i="2" s="1"/>
  <c r="AE38" i="2"/>
  <c r="AI24" i="1"/>
  <c r="AF22" i="2" s="1"/>
  <c r="AE22" i="2"/>
  <c r="AB21" i="1"/>
  <c r="AC21" i="1" s="1"/>
  <c r="AD21" i="1" s="1"/>
  <c r="AG51" i="1"/>
  <c r="AD18" i="2"/>
  <c r="AG21" i="1"/>
  <c r="AD37" i="2"/>
  <c r="AN22" i="1"/>
  <c r="AK16" i="2" s="1"/>
  <c r="AM26" i="1"/>
  <c r="AN26" i="1" s="1"/>
  <c r="AJ16" i="2"/>
  <c r="AG30" i="1"/>
  <c r="AD33" i="2"/>
  <c r="AH34" i="1"/>
  <c r="AN25" i="1"/>
  <c r="AK38" i="2" s="1"/>
  <c r="AJ38" i="2"/>
  <c r="AG53" i="1"/>
  <c r="AD50" i="2"/>
  <c r="AH38" i="1"/>
  <c r="AH43" i="1"/>
  <c r="AC35" i="2"/>
  <c r="AG43" i="1"/>
  <c r="AD35" i="2" s="1"/>
  <c r="AD47" i="1"/>
  <c r="AA46" i="2" s="1"/>
  <c r="Z46" i="2"/>
  <c r="AF51" i="1"/>
  <c r="AD19" i="1"/>
  <c r="AA37" i="2" s="1"/>
  <c r="Z37" i="2"/>
  <c r="AH32" i="1"/>
  <c r="AD43" i="1"/>
  <c r="AA35" i="2" s="1"/>
  <c r="Z35" i="2"/>
  <c r="AH13" i="1"/>
  <c r="AH14" i="1" s="1"/>
  <c r="AI14" i="1" s="1"/>
  <c r="AL21" i="1"/>
  <c r="AI37" i="2"/>
  <c r="AD44" i="1"/>
  <c r="AA40" i="2" s="1"/>
  <c r="Z40" i="2"/>
  <c r="AG26" i="1"/>
  <c r="AD16" i="2"/>
  <c r="AH22" i="1"/>
  <c r="AD49" i="1"/>
  <c r="AA48" i="2" s="1"/>
  <c r="Z48" i="2"/>
  <c r="AH52" i="1"/>
  <c r="AD20" i="1"/>
  <c r="AA45" i="2" s="1"/>
  <c r="Z45" i="2"/>
  <c r="AF54" i="1"/>
  <c r="AD42" i="1"/>
  <c r="AA31" i="2" s="1"/>
  <c r="Z31" i="2"/>
  <c r="AD41" i="1"/>
  <c r="AA30" i="2" s="1"/>
  <c r="Z30" i="2"/>
  <c r="AI31" i="1"/>
  <c r="AF18" i="2" s="1"/>
  <c r="AE18" i="2"/>
  <c r="AD46" i="1"/>
  <c r="AA44" i="2" s="1"/>
  <c r="Z44" i="2"/>
  <c r="AI42" i="1"/>
  <c r="AF31" i="2" s="1"/>
  <c r="AE31" i="2"/>
  <c r="AD38" i="1"/>
  <c r="AA27" i="2" s="1"/>
  <c r="Z27" i="2"/>
  <c r="AI40" i="1"/>
  <c r="AF29" i="2" s="1"/>
  <c r="AE29" i="2"/>
  <c r="AG54" i="1"/>
  <c r="AG14" i="1"/>
  <c r="AD19" i="2"/>
  <c r="AN41" i="1"/>
  <c r="AK30" i="2" s="1"/>
  <c r="AJ30" i="2"/>
  <c r="AB18" i="1"/>
  <c r="AC18" i="1" s="1"/>
  <c r="AD18" i="1" s="1"/>
  <c r="AI16" i="1"/>
  <c r="AF39" i="2" s="1"/>
  <c r="AE39" i="2"/>
  <c r="AH50" i="1"/>
  <c r="AH51" i="1" s="1"/>
  <c r="AI51" i="1" s="1"/>
  <c r="AM30" i="1"/>
  <c r="AN30" i="1" s="1"/>
  <c r="AN27" i="1"/>
  <c r="AK33" i="2" s="1"/>
  <c r="AJ33" i="2"/>
  <c r="AD15" i="1"/>
  <c r="AA32" i="2" s="1"/>
  <c r="Z32" i="2"/>
  <c r="AD12" i="1"/>
  <c r="AA19" i="2" s="1"/>
  <c r="Z19" i="2"/>
  <c r="AC16" i="1"/>
  <c r="AG18" i="1"/>
  <c r="AD32" i="2"/>
  <c r="AH21" i="1"/>
  <c r="AI21" i="1" s="1"/>
  <c r="AI19" i="1"/>
  <c r="AF37" i="2" s="1"/>
  <c r="AE37" i="2"/>
  <c r="AC51" i="2"/>
  <c r="AM21" i="1"/>
  <c r="AN21" i="1" s="1"/>
  <c r="AN19" i="1"/>
  <c r="AK37" i="2" s="1"/>
  <c r="AJ37" i="2"/>
  <c r="AM17" i="1"/>
  <c r="AL17" i="1"/>
  <c r="AK54" i="1"/>
  <c r="AH43" i="2"/>
  <c r="AH51" i="2" s="1"/>
  <c r="AK18" i="1"/>
  <c r="AD39" i="1"/>
  <c r="AA28" i="2" s="1"/>
  <c r="Z28" i="2"/>
  <c r="AB51" i="1"/>
  <c r="AC51" i="1" s="1"/>
  <c r="AD51" i="1" s="1"/>
  <c r="AN17" i="1" l="1"/>
  <c r="AK43" i="2" s="1"/>
  <c r="AJ43" i="2"/>
  <c r="AM54" i="1"/>
  <c r="AN54" i="1" s="1"/>
  <c r="AH26" i="1"/>
  <c r="AI26" i="1" s="1"/>
  <c r="AI22" i="1"/>
  <c r="AF16" i="2" s="1"/>
  <c r="AE16" i="2"/>
  <c r="AI17" i="1"/>
  <c r="AF43" i="2" s="1"/>
  <c r="AE43" i="2"/>
  <c r="AD51" i="2"/>
  <c r="AI34" i="1"/>
  <c r="AF23" i="2" s="1"/>
  <c r="AE23" i="2"/>
  <c r="AI46" i="1"/>
  <c r="AF44" i="2" s="1"/>
  <c r="AE44" i="2"/>
  <c r="Z51" i="2"/>
  <c r="AI32" i="1"/>
  <c r="AF20" i="2" s="1"/>
  <c r="AE20" i="2"/>
  <c r="AI43" i="1"/>
  <c r="AF35" i="2" s="1"/>
  <c r="AE35" i="2"/>
  <c r="AJ51" i="2"/>
  <c r="AH54" i="1"/>
  <c r="AI54" i="1" s="1"/>
  <c r="AI38" i="1"/>
  <c r="AF27" i="2" s="1"/>
  <c r="AE27" i="2"/>
  <c r="AI52" i="1"/>
  <c r="AF50" i="2" s="1"/>
  <c r="AH53" i="1"/>
  <c r="AI53" i="1" s="1"/>
  <c r="AE50" i="2"/>
  <c r="AM18" i="1"/>
  <c r="AN18" i="1" s="1"/>
  <c r="AD16" i="1"/>
  <c r="AA39" i="2" s="1"/>
  <c r="Z39" i="2"/>
  <c r="AI50" i="1"/>
  <c r="AF49" i="2" s="1"/>
  <c r="AE49" i="2"/>
  <c r="AI43" i="2"/>
  <c r="AI51" i="2" s="1"/>
  <c r="AL18" i="1"/>
  <c r="AL54" i="1"/>
  <c r="AI13" i="1"/>
  <c r="AF34" i="2" s="1"/>
  <c r="AE34" i="2"/>
  <c r="AE51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T12" authorId="0" shapeId="0" xr:uid="{00000000-0006-0000-0000-000001000000}">
      <text>
        <r>
          <rPr>
            <sz val="9"/>
            <color rgb="FFFFFFFF"/>
            <rFont val="Arial"/>
            <family val="2"/>
          </rPr>
          <t>Override Value: 21.42%</t>
        </r>
      </text>
    </comment>
    <comment ref="Z12" authorId="0" shapeId="0" xr:uid="{00000000-0006-0000-0000-000002000000}">
      <text>
        <r>
          <rPr>
            <sz val="9"/>
            <color rgb="FFFFFFFF"/>
            <rFont val="Arial"/>
            <family val="2"/>
          </rPr>
          <t>Override Value: 100.00%</t>
        </r>
      </text>
    </comment>
    <comment ref="T13" authorId="0" shapeId="0" xr:uid="{00000000-0006-0000-0000-000003000000}">
      <text>
        <r>
          <rPr>
            <sz val="9"/>
            <color rgb="FFFFFFFF"/>
            <rFont val="Arial"/>
            <family val="2"/>
          </rPr>
          <t>Override Value: 15.00%</t>
        </r>
      </text>
    </comment>
    <comment ref="Z13" authorId="0" shapeId="0" xr:uid="{00000000-0006-0000-0000-000004000000}">
      <text>
        <r>
          <rPr>
            <sz val="9"/>
            <color rgb="FFFFFFFF"/>
            <rFont val="Arial"/>
            <family val="2"/>
          </rPr>
          <t>Override Value: 100.00%</t>
        </r>
      </text>
    </comment>
    <comment ref="T15" authorId="0" shapeId="0" xr:uid="{00000000-0006-0000-0000-000005000000}">
      <text>
        <r>
          <rPr>
            <sz val="9"/>
            <color rgb="FFFFFFFF"/>
            <rFont val="Arial"/>
            <family val="2"/>
          </rPr>
          <t>Override Value: 15.00%</t>
        </r>
      </text>
    </comment>
    <comment ref="Z15" authorId="0" shapeId="0" xr:uid="{00000000-0006-0000-0000-000006000000}">
      <text>
        <r>
          <rPr>
            <sz val="9"/>
            <color rgb="FFFFFFFF"/>
            <rFont val="Arial"/>
            <family val="2"/>
          </rPr>
          <t>Override Value: 87.00%</t>
        </r>
      </text>
    </comment>
    <comment ref="T16" authorId="0" shapeId="0" xr:uid="{00000000-0006-0000-0000-000007000000}">
      <text>
        <r>
          <rPr>
            <sz val="9"/>
            <color rgb="FFFFFFFF"/>
            <rFont val="Arial"/>
            <family val="2"/>
          </rPr>
          <t>Override Value: 17.00%</t>
        </r>
      </text>
    </comment>
    <comment ref="Z16" authorId="0" shapeId="0" xr:uid="{00000000-0006-0000-0000-000008000000}">
      <text>
        <r>
          <rPr>
            <sz val="9"/>
            <color rgb="FFFFFFFF"/>
            <rFont val="Arial"/>
            <family val="2"/>
          </rPr>
          <t>Override Value: 100.00%</t>
        </r>
      </text>
    </comment>
    <comment ref="T17" authorId="0" shapeId="0" xr:uid="{00000000-0006-0000-0000-000009000000}">
      <text>
        <r>
          <rPr>
            <sz val="9"/>
            <color rgb="FFFFFFFF"/>
            <rFont val="Arial"/>
            <family val="2"/>
          </rPr>
          <t>Override Value: 17.00%</t>
        </r>
      </text>
    </comment>
    <comment ref="Z17" authorId="0" shapeId="0" xr:uid="{00000000-0006-0000-0000-00000A000000}">
      <text>
        <r>
          <rPr>
            <sz val="9"/>
            <color rgb="FFFFFFFF"/>
            <rFont val="Arial"/>
            <family val="2"/>
          </rPr>
          <t>Override Value: 5.00%</t>
        </r>
      </text>
    </comment>
    <comment ref="AJ17" authorId="0" shapeId="0" xr:uid="{00000000-0006-0000-0000-00000B000000}">
      <text>
        <r>
          <rPr>
            <sz val="9"/>
            <color rgb="FFFFFFFF"/>
            <rFont val="Arial"/>
            <family val="2"/>
          </rPr>
          <t>Override Value: 100.00%</t>
        </r>
      </text>
    </comment>
    <comment ref="T19" authorId="0" shapeId="0" xr:uid="{00000000-0006-0000-0000-00000C000000}">
      <text>
        <r>
          <rPr>
            <sz val="9"/>
            <color rgb="FFFFFFFF"/>
            <rFont val="Arial"/>
            <family val="2"/>
          </rPr>
          <t>Override Value: 18.00%</t>
        </r>
      </text>
    </comment>
    <comment ref="Z19" authorId="0" shapeId="0" xr:uid="{00000000-0006-0000-0000-00000D000000}">
      <text>
        <r>
          <rPr>
            <sz val="9"/>
            <color rgb="FFFFFFFF"/>
            <rFont val="Arial"/>
            <family val="2"/>
          </rPr>
          <t>Override Value: 26.00%</t>
        </r>
      </text>
    </comment>
    <comment ref="AJ19" authorId="0" shapeId="0" xr:uid="{00000000-0006-0000-0000-00000E000000}">
      <text>
        <r>
          <rPr>
            <sz val="9"/>
            <color rgb="FFFFFFFF"/>
            <rFont val="Arial"/>
            <family val="2"/>
          </rPr>
          <t>Override Value: 100.00%</t>
        </r>
      </text>
    </comment>
    <comment ref="T20" authorId="0" shapeId="0" xr:uid="{00000000-0006-0000-0000-00000F000000}">
      <text>
        <r>
          <rPr>
            <sz val="9"/>
            <color rgb="FFFFFFFF"/>
            <rFont val="Arial"/>
            <family val="2"/>
          </rPr>
          <t>Override Value: 20.00%</t>
        </r>
      </text>
    </comment>
    <comment ref="Z20" authorId="0" shapeId="0" xr:uid="{00000000-0006-0000-0000-000010000000}">
      <text>
        <r>
          <rPr>
            <sz val="9"/>
            <color rgb="FFFFFFFF"/>
            <rFont val="Arial"/>
            <family val="2"/>
          </rPr>
          <t>Override Value: 25.00%</t>
        </r>
      </text>
    </comment>
    <comment ref="T22" authorId="0" shapeId="0" xr:uid="{00000000-0006-0000-0000-000011000000}">
      <text>
        <r>
          <rPr>
            <sz val="9"/>
            <color rgb="FFFFFFFF"/>
            <rFont val="Arial"/>
            <family val="2"/>
          </rPr>
          <t>Override Value: 1.00%</t>
        </r>
      </text>
    </comment>
    <comment ref="Z22" authorId="0" shapeId="0" xr:uid="{00000000-0006-0000-0000-000012000000}">
      <text>
        <r>
          <rPr>
            <sz val="9"/>
            <color rgb="FFFFFFFF"/>
            <rFont val="Arial"/>
            <family val="2"/>
          </rPr>
          <t>Override Value: 100.00%</t>
        </r>
      </text>
    </comment>
    <comment ref="T23" authorId="0" shapeId="0" xr:uid="{00000000-0006-0000-0000-000013000000}">
      <text>
        <r>
          <rPr>
            <sz val="9"/>
            <color rgb="FFFFFFFF"/>
            <rFont val="Arial"/>
            <family val="2"/>
          </rPr>
          <t>Override Value: 19.00%</t>
        </r>
      </text>
    </comment>
    <comment ref="Z23" authorId="0" shapeId="0" xr:uid="{00000000-0006-0000-0000-000014000000}">
      <text>
        <r>
          <rPr>
            <sz val="9"/>
            <color rgb="FFFFFFFF"/>
            <rFont val="Arial"/>
            <family val="2"/>
          </rPr>
          <t>Override Value: 100.00%</t>
        </r>
      </text>
    </comment>
    <comment ref="T24" authorId="0" shapeId="0" xr:uid="{00000000-0006-0000-0000-000015000000}">
      <text>
        <r>
          <rPr>
            <sz val="9"/>
            <color rgb="FFFFFFFF"/>
            <rFont val="Arial"/>
            <family val="2"/>
          </rPr>
          <t>Override Value: 25.00%</t>
        </r>
      </text>
    </comment>
    <comment ref="Z24" authorId="0" shapeId="0" xr:uid="{00000000-0006-0000-0000-000016000000}">
      <text>
        <r>
          <rPr>
            <sz val="9"/>
            <color rgb="FFFFFFFF"/>
            <rFont val="Arial"/>
            <family val="2"/>
          </rPr>
          <t>Override Value: 95.00%</t>
        </r>
      </text>
    </comment>
    <comment ref="T25" authorId="0" shapeId="0" xr:uid="{00000000-0006-0000-0000-000017000000}">
      <text>
        <r>
          <rPr>
            <sz val="9"/>
            <color rgb="FFFFFFFF"/>
            <rFont val="Arial"/>
            <family val="2"/>
          </rPr>
          <t>Override Value: 17.00%</t>
        </r>
      </text>
    </comment>
    <comment ref="Z25" authorId="0" shapeId="0" xr:uid="{00000000-0006-0000-0000-000018000000}">
      <text>
        <r>
          <rPr>
            <sz val="9"/>
            <color rgb="FFFFFFFF"/>
            <rFont val="Arial"/>
            <family val="2"/>
          </rPr>
          <t>Override Value: 40.00%</t>
        </r>
      </text>
    </comment>
    <comment ref="T27" authorId="0" shapeId="0" xr:uid="{00000000-0006-0000-0000-000019000000}">
      <text>
        <r>
          <rPr>
            <sz val="9"/>
            <color rgb="FFFFFFFF"/>
            <rFont val="Arial"/>
            <family val="2"/>
          </rPr>
          <t>Override Value: 8.50%</t>
        </r>
      </text>
    </comment>
    <comment ref="Z27" authorId="0" shapeId="0" xr:uid="{00000000-0006-0000-0000-00001A000000}">
      <text>
        <r>
          <rPr>
            <sz val="9"/>
            <color rgb="FFFFFFFF"/>
            <rFont val="Arial"/>
            <family val="2"/>
          </rPr>
          <t>Override Value: 100.00%</t>
        </r>
      </text>
    </comment>
    <comment ref="T28" authorId="0" shapeId="0" xr:uid="{00000000-0006-0000-0000-00001B000000}">
      <text>
        <r>
          <rPr>
            <sz val="9"/>
            <color rgb="FFFFFFFF"/>
            <rFont val="Arial"/>
            <family val="2"/>
          </rPr>
          <t>Override Value: 13.00%</t>
        </r>
      </text>
    </comment>
    <comment ref="Z28" authorId="0" shapeId="0" xr:uid="{00000000-0006-0000-0000-00001C000000}">
      <text>
        <r>
          <rPr>
            <sz val="9"/>
            <color rgb="FFFFFFFF"/>
            <rFont val="Arial"/>
            <family val="2"/>
          </rPr>
          <t>Override Value: 30.00%</t>
        </r>
      </text>
    </comment>
    <comment ref="T29" authorId="0" shapeId="0" xr:uid="{00000000-0006-0000-0000-00001D000000}">
      <text>
        <r>
          <rPr>
            <sz val="9"/>
            <color rgb="FFFFFFFF"/>
            <rFont val="Arial"/>
            <family val="2"/>
          </rPr>
          <t>Override Value: 17.00%</t>
        </r>
      </text>
    </comment>
    <comment ref="Z29" authorId="0" shapeId="0" xr:uid="{00000000-0006-0000-0000-00001E000000}">
      <text>
        <r>
          <rPr>
            <sz val="9"/>
            <color rgb="FFFFFFFF"/>
            <rFont val="Arial"/>
            <family val="2"/>
          </rPr>
          <t>Override Value: 90.00%</t>
        </r>
      </text>
    </comment>
    <comment ref="T31" authorId="0" shapeId="0" xr:uid="{00000000-0006-0000-0000-00001F000000}">
      <text>
        <r>
          <rPr>
            <sz val="9"/>
            <color rgb="FFFFFFFF"/>
            <rFont val="Arial"/>
            <family val="2"/>
          </rPr>
          <t>Override Value: 7.00%</t>
        </r>
      </text>
    </comment>
    <comment ref="Z31" authorId="0" shapeId="0" xr:uid="{00000000-0006-0000-0000-000020000000}">
      <text>
        <r>
          <rPr>
            <sz val="9"/>
            <color rgb="FFFFFFFF"/>
            <rFont val="Arial"/>
            <family val="2"/>
          </rPr>
          <t>Override Value: 100.00%</t>
        </r>
      </text>
    </comment>
    <comment ref="T32" authorId="0" shapeId="0" xr:uid="{00000000-0006-0000-0000-000021000000}">
      <text>
        <r>
          <rPr>
            <sz val="9"/>
            <color rgb="FFFFFFFF"/>
            <rFont val="Arial"/>
            <family val="2"/>
          </rPr>
          <t>Override Value: 17.00%</t>
        </r>
      </text>
    </comment>
    <comment ref="Z32" authorId="0" shapeId="0" xr:uid="{00000000-0006-0000-0000-000022000000}">
      <text>
        <r>
          <rPr>
            <sz val="9"/>
            <color rgb="FFFFFFFF"/>
            <rFont val="Arial"/>
            <family val="2"/>
          </rPr>
          <t>Override Value: 100.00%</t>
        </r>
      </text>
    </comment>
    <comment ref="T33" authorId="0" shapeId="0" xr:uid="{00000000-0006-0000-0000-000023000000}">
      <text>
        <r>
          <rPr>
            <sz val="9"/>
            <color rgb="FFFFFFFF"/>
            <rFont val="Arial"/>
            <family val="2"/>
          </rPr>
          <t>Override Value: 13.00%</t>
        </r>
      </text>
    </comment>
    <comment ref="Z33" authorId="0" shapeId="0" xr:uid="{00000000-0006-0000-0000-000024000000}">
      <text>
        <r>
          <rPr>
            <sz val="9"/>
            <color rgb="FFFFFFFF"/>
            <rFont val="Arial"/>
            <family val="2"/>
          </rPr>
          <t>Override Value: 100.00%</t>
        </r>
      </text>
    </comment>
    <comment ref="T34" authorId="0" shapeId="0" xr:uid="{00000000-0006-0000-0000-000025000000}">
      <text>
        <r>
          <rPr>
            <sz val="9"/>
            <color rgb="FFFFFFFF"/>
            <rFont val="Arial"/>
            <family val="2"/>
          </rPr>
          <t>Override Value: 39.00%</t>
        </r>
      </text>
    </comment>
    <comment ref="Z34" authorId="0" shapeId="0" xr:uid="{00000000-0006-0000-0000-000026000000}">
      <text>
        <r>
          <rPr>
            <sz val="9"/>
            <color rgb="FFFFFFFF"/>
            <rFont val="Arial"/>
            <family val="2"/>
          </rPr>
          <t>Override Value: 98.00%</t>
        </r>
      </text>
    </comment>
    <comment ref="T35" authorId="0" shapeId="0" xr:uid="{00000000-0006-0000-0000-000027000000}">
      <text>
        <r>
          <rPr>
            <sz val="9"/>
            <color rgb="FFFFFFFF"/>
            <rFont val="Arial"/>
            <family val="2"/>
          </rPr>
          <t>Override Value: 20.00%</t>
        </r>
      </text>
    </comment>
    <comment ref="Z35" authorId="0" shapeId="0" xr:uid="{00000000-0006-0000-0000-000028000000}">
      <text>
        <r>
          <rPr>
            <sz val="9"/>
            <color rgb="FFFFFFFF"/>
            <rFont val="Arial"/>
            <family val="2"/>
          </rPr>
          <t>Override Value: 95.00%</t>
        </r>
      </text>
    </comment>
    <comment ref="T36" authorId="0" shapeId="0" xr:uid="{00000000-0006-0000-0000-000029000000}">
      <text>
        <r>
          <rPr>
            <sz val="9"/>
            <color rgb="FFFFFFFF"/>
            <rFont val="Arial"/>
            <family val="2"/>
          </rPr>
          <t>Override Value: 20.00%</t>
        </r>
      </text>
    </comment>
    <comment ref="Z36" authorId="0" shapeId="0" xr:uid="{00000000-0006-0000-0000-00002A000000}">
      <text>
        <r>
          <rPr>
            <sz val="9"/>
            <color rgb="FFFFFFFF"/>
            <rFont val="Arial"/>
            <family val="2"/>
          </rPr>
          <t>Override Value: 95.00%</t>
        </r>
      </text>
    </comment>
    <comment ref="T37" authorId="0" shapeId="0" xr:uid="{00000000-0006-0000-0000-00002B000000}">
      <text>
        <r>
          <rPr>
            <sz val="9"/>
            <color rgb="FFFFFFFF"/>
            <rFont val="Arial"/>
            <family val="2"/>
          </rPr>
          <t>Override Value: 20.00%</t>
        </r>
      </text>
    </comment>
    <comment ref="Z37" authorId="0" shapeId="0" xr:uid="{00000000-0006-0000-0000-00002C000000}">
      <text>
        <r>
          <rPr>
            <sz val="9"/>
            <color rgb="FFFFFFFF"/>
            <rFont val="Arial"/>
            <family val="2"/>
          </rPr>
          <t>Override Value: 95.00%</t>
        </r>
      </text>
    </comment>
    <comment ref="T38" authorId="0" shapeId="0" xr:uid="{00000000-0006-0000-0000-00002D000000}">
      <text>
        <r>
          <rPr>
            <sz val="9"/>
            <color rgb="FFFFFFFF"/>
            <rFont val="Arial"/>
            <family val="2"/>
          </rPr>
          <t>Override Value: 20.00%</t>
        </r>
      </text>
    </comment>
    <comment ref="Z38" authorId="0" shapeId="0" xr:uid="{00000000-0006-0000-0000-00002E000000}">
      <text>
        <r>
          <rPr>
            <sz val="9"/>
            <color rgb="FFFFFFFF"/>
            <rFont val="Arial"/>
            <family val="2"/>
          </rPr>
          <t>Override Value: 95.00%</t>
        </r>
      </text>
    </comment>
    <comment ref="T39" authorId="0" shapeId="0" xr:uid="{00000000-0006-0000-0000-00002F000000}">
      <text>
        <r>
          <rPr>
            <sz val="9"/>
            <color rgb="FFFFFFFF"/>
            <rFont val="Arial"/>
            <family val="2"/>
          </rPr>
          <t>Override Value: 35.00%</t>
        </r>
      </text>
    </comment>
    <comment ref="Z39" authorId="0" shapeId="0" xr:uid="{00000000-0006-0000-0000-000030000000}">
      <text>
        <r>
          <rPr>
            <sz val="9"/>
            <color rgb="FFFFFFFF"/>
            <rFont val="Arial"/>
            <family val="2"/>
          </rPr>
          <t>Override Value: 100.00%</t>
        </r>
      </text>
    </comment>
    <comment ref="T40" authorId="0" shapeId="0" xr:uid="{00000000-0006-0000-0000-000031000000}">
      <text>
        <r>
          <rPr>
            <sz val="9"/>
            <color rgb="FFFFFFFF"/>
            <rFont val="Arial"/>
            <family val="2"/>
          </rPr>
          <t>Override Value: 2.65%</t>
        </r>
      </text>
    </comment>
    <comment ref="Z40" authorId="0" shapeId="0" xr:uid="{00000000-0006-0000-0000-000032000000}">
      <text>
        <r>
          <rPr>
            <sz val="9"/>
            <color rgb="FFFFFFFF"/>
            <rFont val="Arial"/>
            <family val="2"/>
          </rPr>
          <t>Override Value: 100.00%</t>
        </r>
      </text>
    </comment>
    <comment ref="T41" authorId="0" shapeId="0" xr:uid="{00000000-0006-0000-0000-000033000000}">
      <text>
        <r>
          <rPr>
            <sz val="9"/>
            <color rgb="FFFFFFFF"/>
            <rFont val="Arial"/>
            <family val="2"/>
          </rPr>
          <t>Override Value: 20.00%</t>
        </r>
      </text>
    </comment>
    <comment ref="Z41" authorId="0" shapeId="0" xr:uid="{00000000-0006-0000-0000-000034000000}">
      <text>
        <r>
          <rPr>
            <sz val="9"/>
            <color rgb="FFFFFFFF"/>
            <rFont val="Arial"/>
            <family val="2"/>
          </rPr>
          <t>Override Value: 100.00%</t>
        </r>
      </text>
    </comment>
    <comment ref="T42" authorId="0" shapeId="0" xr:uid="{00000000-0006-0000-0000-000035000000}">
      <text>
        <r>
          <rPr>
            <sz val="9"/>
            <color rgb="FFFFFFFF"/>
            <rFont val="Arial"/>
            <family val="2"/>
          </rPr>
          <t>Override Value: 20.00%</t>
        </r>
      </text>
    </comment>
    <comment ref="Z42" authorId="0" shapeId="0" xr:uid="{00000000-0006-0000-0000-000036000000}">
      <text>
        <r>
          <rPr>
            <sz val="9"/>
            <color rgb="FFFFFFFF"/>
            <rFont val="Arial"/>
            <family val="2"/>
          </rPr>
          <t>Override Value: 20.00%</t>
        </r>
      </text>
    </comment>
    <comment ref="T43" authorId="0" shapeId="0" xr:uid="{00000000-0006-0000-0000-000037000000}">
      <text>
        <r>
          <rPr>
            <sz val="9"/>
            <color rgb="FFFFFFFF"/>
            <rFont val="Arial"/>
            <family val="2"/>
          </rPr>
          <t>Override Value: 20.00%</t>
        </r>
      </text>
    </comment>
    <comment ref="Z43" authorId="0" shapeId="0" xr:uid="{00000000-0006-0000-0000-000038000000}">
      <text>
        <r>
          <rPr>
            <sz val="9"/>
            <color rgb="FFFFFFFF"/>
            <rFont val="Arial"/>
            <family val="2"/>
          </rPr>
          <t>Override Value: 90.00%</t>
        </r>
      </text>
    </comment>
    <comment ref="T44" authorId="0" shapeId="0" xr:uid="{00000000-0006-0000-0000-000039000000}">
      <text>
        <r>
          <rPr>
            <sz val="9"/>
            <color rgb="FFFFFFFF"/>
            <rFont val="Arial"/>
            <family val="2"/>
          </rPr>
          <t>Override Value: 22.00%</t>
        </r>
      </text>
    </comment>
    <comment ref="Z44" authorId="0" shapeId="0" xr:uid="{00000000-0006-0000-0000-00003A000000}">
      <text>
        <r>
          <rPr>
            <sz val="9"/>
            <color rgb="FFFFFFFF"/>
            <rFont val="Arial"/>
            <family val="2"/>
          </rPr>
          <t>Override Value: 80.00%</t>
        </r>
      </text>
    </comment>
    <comment ref="T45" authorId="0" shapeId="0" xr:uid="{00000000-0006-0000-0000-00003B000000}">
      <text>
        <r>
          <rPr>
            <sz val="9"/>
            <color rgb="FFFFFFFF"/>
            <rFont val="Arial"/>
            <family val="2"/>
          </rPr>
          <t>Override Value: 0.00%</t>
        </r>
      </text>
    </comment>
    <comment ref="Z45" authorId="0" shapeId="0" xr:uid="{00000000-0006-0000-0000-00003C000000}">
      <text>
        <r>
          <rPr>
            <sz val="9"/>
            <color rgb="FFFFFFFF"/>
            <rFont val="Arial"/>
            <family val="2"/>
          </rPr>
          <t>Override Value: 100.00%</t>
        </r>
      </text>
    </comment>
    <comment ref="T46" authorId="0" shapeId="0" xr:uid="{00000000-0006-0000-0000-00003D000000}">
      <text>
        <r>
          <rPr>
            <sz val="9"/>
            <color rgb="FFFFFFFF"/>
            <rFont val="Arial"/>
            <family val="2"/>
          </rPr>
          <t>Override Value: 30.00%</t>
        </r>
      </text>
    </comment>
    <comment ref="Z46" authorId="0" shapeId="0" xr:uid="{00000000-0006-0000-0000-00003E000000}">
      <text>
        <r>
          <rPr>
            <sz val="9"/>
            <color rgb="FFFFFFFF"/>
            <rFont val="Arial"/>
            <family val="2"/>
          </rPr>
          <t>Override Value: 50.00%</t>
        </r>
      </text>
    </comment>
    <comment ref="T47" authorId="0" shapeId="0" xr:uid="{00000000-0006-0000-0000-00003F000000}">
      <text>
        <r>
          <rPr>
            <sz val="9"/>
            <color rgb="FFFFFFFF"/>
            <rFont val="Arial"/>
            <family val="2"/>
          </rPr>
          <t>Override Value: 20.00%</t>
        </r>
      </text>
    </comment>
    <comment ref="Z47" authorId="0" shapeId="0" xr:uid="{00000000-0006-0000-0000-000040000000}">
      <text>
        <r>
          <rPr>
            <sz val="9"/>
            <color rgb="FFFFFFFF"/>
            <rFont val="Arial"/>
            <family val="2"/>
          </rPr>
          <t>Override Value: 100.00%</t>
        </r>
      </text>
    </comment>
    <comment ref="T48" authorId="0" shapeId="0" xr:uid="{00000000-0006-0000-0000-000041000000}">
      <text>
        <r>
          <rPr>
            <sz val="9"/>
            <color rgb="FFFFFFFF"/>
            <rFont val="Arial"/>
            <family val="2"/>
          </rPr>
          <t>Override Value: 25.00%</t>
        </r>
      </text>
    </comment>
    <comment ref="Z48" authorId="0" shapeId="0" xr:uid="{00000000-0006-0000-0000-000042000000}">
      <text>
        <r>
          <rPr>
            <sz val="9"/>
            <color rgb="FFFFFFFF"/>
            <rFont val="Arial"/>
            <family val="2"/>
          </rPr>
          <t>Override Value: 100.00%</t>
        </r>
      </text>
    </comment>
    <comment ref="T49" authorId="0" shapeId="0" xr:uid="{00000000-0006-0000-0000-000043000000}">
      <text>
        <r>
          <rPr>
            <sz val="9"/>
            <color rgb="FFFFFFFF"/>
            <rFont val="Arial"/>
            <family val="2"/>
          </rPr>
          <t>Override Value: 20.00%</t>
        </r>
      </text>
    </comment>
    <comment ref="Z49" authorId="0" shapeId="0" xr:uid="{00000000-0006-0000-0000-000044000000}">
      <text>
        <r>
          <rPr>
            <sz val="9"/>
            <color rgb="FFFFFFFF"/>
            <rFont val="Arial"/>
            <family val="2"/>
          </rPr>
          <t>Override Value: 100.00%</t>
        </r>
      </text>
    </comment>
    <comment ref="T50" authorId="0" shapeId="0" xr:uid="{00000000-0006-0000-0000-000045000000}">
      <text>
        <r>
          <rPr>
            <sz val="9"/>
            <color rgb="FFFFFFFF"/>
            <rFont val="Arial"/>
            <family val="2"/>
          </rPr>
          <t>Override Value: 20.00%</t>
        </r>
      </text>
    </comment>
    <comment ref="Z50" authorId="0" shapeId="0" xr:uid="{00000000-0006-0000-0000-000046000000}">
      <text>
        <r>
          <rPr>
            <sz val="9"/>
            <color rgb="FFFFFFFF"/>
            <rFont val="Arial"/>
            <family val="2"/>
          </rPr>
          <t>Override Value: 2.00%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<sst xmlns="http://schemas.openxmlformats.org/spreadsheetml/2006/main" count="650" uniqueCount="248">
  <si>
    <t>Estimated</t>
  </si>
  <si>
    <t>Project Manager</t>
  </si>
  <si>
    <t>Job Number</t>
  </si>
  <si>
    <t>Description</t>
  </si>
  <si>
    <t>Current Contract Amount</t>
  </si>
  <si>
    <t>Estimated Cost</t>
  </si>
  <si>
    <t>Gross Margin</t>
  </si>
  <si>
    <t>GM%</t>
  </si>
  <si>
    <t xml:space="preserve">JTD Earned Revenue </t>
  </si>
  <si>
    <t>Cost to Date</t>
  </si>
  <si>
    <t>Gross Margin to Date</t>
  </si>
  <si>
    <t xml:space="preserve">GM % </t>
  </si>
  <si>
    <t>Billed Amount</t>
  </si>
  <si>
    <t>Over Billing</t>
  </si>
  <si>
    <t>(Under) Billing</t>
  </si>
  <si>
    <t>Backlog</t>
  </si>
  <si>
    <t>% Complete</t>
  </si>
  <si>
    <t>PM Estimated GM %</t>
  </si>
  <si>
    <t>Prior Period Revised PM Estimated GM %</t>
  </si>
  <si>
    <t>Revised PM Estimated GM %</t>
  </si>
  <si>
    <t>Potential Profit</t>
  </si>
  <si>
    <t>Prior Period Revised Potential Profit</t>
  </si>
  <si>
    <t xml:space="preserve">Revised Potential Profit </t>
  </si>
  <si>
    <t>% Complete @ YE</t>
  </si>
  <si>
    <t>Prior Period Revised % Complete @ YE</t>
  </si>
  <si>
    <t>Revised % Complete @ YE</t>
  </si>
  <si>
    <t>Contract Amount</t>
  </si>
  <si>
    <t>GM %</t>
  </si>
  <si>
    <t>pmestimatedgmpercentage__custom</t>
  </si>
  <si>
    <t>Comments</t>
  </si>
  <si>
    <t xml:space="preserve">Revised % Complete @ YE </t>
  </si>
  <si>
    <t xml:space="preserve">CY Contract Amount </t>
  </si>
  <si>
    <t>CY Estimated Cost</t>
  </si>
  <si>
    <t>CY Gross Margin</t>
  </si>
  <si>
    <t xml:space="preserve">CY GM  % </t>
  </si>
  <si>
    <t>RevisedCY1 % Complete</t>
  </si>
  <si>
    <t>CY1 Contract  Amount</t>
  </si>
  <si>
    <t xml:space="preserve"> CY1 Estimated  Cost </t>
  </si>
  <si>
    <t>CY1 Gross  Margin</t>
  </si>
  <si>
    <t xml:space="preserve">CY1GM% </t>
  </si>
  <si>
    <t xml:space="preserve">CY2 Revised %  Complete @  YE   </t>
  </si>
  <si>
    <t xml:space="preserve">CY2 Contract Amount  </t>
  </si>
  <si>
    <t xml:space="preserve">CY2 Estimated Cost   </t>
  </si>
  <si>
    <t xml:space="preserve">CY2 Gross Margin   </t>
  </si>
  <si>
    <t xml:space="preserve">CY2 GM %    </t>
  </si>
  <si>
    <t>estimatedgmpercentage__custom</t>
  </si>
  <si>
    <t>percentagecompleteatye__custom</t>
  </si>
  <si>
    <t>EStimatedGMPct</t>
  </si>
  <si>
    <t>B LIU</t>
  </si>
  <si>
    <t>719500</t>
  </si>
  <si>
    <t>SWITCH RR NAP 4</t>
  </si>
  <si>
    <t/>
  </si>
  <si>
    <t>722320</t>
  </si>
  <si>
    <t>SPACEX DIRECT WORK</t>
  </si>
  <si>
    <t>Subtotal of B LIU</t>
  </si>
  <si>
    <t>-</t>
  </si>
  <si>
    <t>B ONTIVEROS</t>
  </si>
  <si>
    <t>722210</t>
  </si>
  <si>
    <t>LIBERTY HILL HS #2</t>
  </si>
  <si>
    <t>722450</t>
  </si>
  <si>
    <t>VALERO AUSTIN PAC OFFICE</t>
  </si>
  <si>
    <t>722500</t>
  </si>
  <si>
    <t>CORR OSP ADMIN &amp; REC</t>
  </si>
  <si>
    <t>Subtotal of B ONTIVEROS</t>
  </si>
  <si>
    <t>D CASTANEDA</t>
  </si>
  <si>
    <t>722400</t>
  </si>
  <si>
    <t>WILCO JUVENILE JUSTICE</t>
  </si>
  <si>
    <t>722520</t>
  </si>
  <si>
    <t>SPACE X CLEANROOM-HODESS</t>
  </si>
  <si>
    <t>Subtotal of D CASTANEDA</t>
  </si>
  <si>
    <t>K HERNANDEZ</t>
  </si>
  <si>
    <t>710045</t>
  </si>
  <si>
    <t>ZILKER BARTON SPRINGS BAT</t>
  </si>
  <si>
    <t>718000</t>
  </si>
  <si>
    <t>TFC PARK 35</t>
  </si>
  <si>
    <t>720900</t>
  </si>
  <si>
    <t>TFC GMP4 - BP4- DHNP RENO</t>
  </si>
  <si>
    <t>722420</t>
  </si>
  <si>
    <t>UT MAIN BLDG RESTORATION</t>
  </si>
  <si>
    <t>Subtotal of K HERNANDEZ</t>
  </si>
  <si>
    <t>M CASELLA</t>
  </si>
  <si>
    <t>722280</t>
  </si>
  <si>
    <t>HUTTO 1 INITIAL IMPROV</t>
  </si>
  <si>
    <t>722340</t>
  </si>
  <si>
    <t>DEL VALLE LIBRARY</t>
  </si>
  <si>
    <t>722470</t>
  </si>
  <si>
    <t>TSTC HUTTO</t>
  </si>
  <si>
    <t>Subtotal of M CASELLA</t>
  </si>
  <si>
    <t>T FERGUSON</t>
  </si>
  <si>
    <t>718100</t>
  </si>
  <si>
    <t>TESLA 2022 PLASTIC FEEDER</t>
  </si>
  <si>
    <t>719900</t>
  </si>
  <si>
    <t>BLOCKER LANE D14</t>
  </si>
  <si>
    <t>720500</t>
  </si>
  <si>
    <t>UTFC4</t>
  </si>
  <si>
    <t>722200</t>
  </si>
  <si>
    <t>TITO'S BLOCKER LN W7</t>
  </si>
  <si>
    <t>722201</t>
  </si>
  <si>
    <t>TITOS D16</t>
  </si>
  <si>
    <t>722202</t>
  </si>
  <si>
    <t>TITOS D17</t>
  </si>
  <si>
    <t>722203</t>
  </si>
  <si>
    <t>TITOS D18</t>
  </si>
  <si>
    <t>722204</t>
  </si>
  <si>
    <t>TITOS D19</t>
  </si>
  <si>
    <t>722205</t>
  </si>
  <si>
    <t>NEW COMPRESSOR BLDG</t>
  </si>
  <si>
    <t>722206</t>
  </si>
  <si>
    <t>TITOS GUARD HOUSE 6</t>
  </si>
  <si>
    <t>722207</t>
  </si>
  <si>
    <t>TITOS DUNNAGE AREA DA-1</t>
  </si>
  <si>
    <t>722208</t>
  </si>
  <si>
    <t>TITOS AT VAULT EXPANSION</t>
  </si>
  <si>
    <t>722330</t>
  </si>
  <si>
    <t>WILCO HQ</t>
  </si>
  <si>
    <t>722460</t>
  </si>
  <si>
    <t>TITOS BACK OF LINE IMPROV</t>
  </si>
  <si>
    <t>722480</t>
  </si>
  <si>
    <t>TITOS D 14 PWR / SECURITY</t>
  </si>
  <si>
    <t>722510</t>
  </si>
  <si>
    <t>D2&amp;D3 FA CONDUITS</t>
  </si>
  <si>
    <t>722530</t>
  </si>
  <si>
    <t>W7 B-VAULTS</t>
  </si>
  <si>
    <t>722540</t>
  </si>
  <si>
    <t>TITOS GOLF CART CHARGERS</t>
  </si>
  <si>
    <t>722550</t>
  </si>
  <si>
    <t>W2 MDF ROOM</t>
  </si>
  <si>
    <t>722560</t>
  </si>
  <si>
    <t>PROJECT COSMOS</t>
  </si>
  <si>
    <t>Subtotal of T FERGUSON</t>
  </si>
  <si>
    <t>YE ACCRUAL</t>
  </si>
  <si>
    <t>999996</t>
  </si>
  <si>
    <t>CTX CONST ACCRUAL JOB</t>
  </si>
  <si>
    <t>Subtotal of YE ACCRUAL</t>
  </si>
  <si>
    <t>Grand Total</t>
  </si>
  <si>
    <t>Over and Under Billings</t>
  </si>
  <si>
    <t>2025-11-30</t>
  </si>
  <si>
    <t>Division</t>
  </si>
  <si>
    <t>CY Revised % Complete</t>
  </si>
  <si>
    <t>Central Texas Electrical Construction</t>
  </si>
  <si>
    <t>End of Period Date</t>
  </si>
  <si>
    <r>
      <t>WITH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subqueryTable0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</si>
  <si>
    <t>SELECT</t>
  </si>
  <si>
    <r>
      <t>MAX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table0.CorporateFilter__custom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CorporateFilter__custom</t>
    </r>
    <r>
      <rPr>
        <sz val="12"/>
        <color rgb="FF202124"/>
        <rFont val="Menlo"/>
        <family val="2"/>
      </rPr>
      <t>,</t>
    </r>
  </si>
  <si>
    <r>
      <t>MAX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table0.project_manager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Project_Manager__custom</t>
    </r>
    <r>
      <rPr>
        <sz val="12"/>
        <color rgb="FF202124"/>
        <rFont val="Menlo"/>
        <family val="2"/>
      </rPr>
      <t>,</t>
    </r>
  </si>
  <si>
    <r>
      <t>MAX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table0.project_manager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projectmanager__standard</t>
    </r>
    <r>
      <rPr>
        <sz val="12"/>
        <color rgb="FF202124"/>
        <rFont val="Menlo"/>
        <family val="2"/>
      </rPr>
      <t>,</t>
    </r>
  </si>
  <si>
    <r>
      <t>SUM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table0.GM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EStimatedGMPct__custom</t>
    </r>
    <r>
      <rPr>
        <sz val="12"/>
        <color rgb="FF202124"/>
        <rFont val="Menlo"/>
        <family val="2"/>
      </rPr>
      <t>,</t>
    </r>
  </si>
  <si>
    <r>
      <t>'2025-12-31'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EOPeriodDate</t>
    </r>
    <r>
      <rPr>
        <sz val="12"/>
        <color rgb="FF202124"/>
        <rFont val="Menlo"/>
        <family val="2"/>
      </rPr>
      <t>,</t>
    </r>
  </si>
  <si>
    <r>
      <t>table0.New_Job_Number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ProjectUniqueID</t>
    </r>
  </si>
  <si>
    <t>FROM</t>
  </si>
  <si>
    <r>
      <t>PHASE_MASTER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table0</t>
    </r>
  </si>
  <si>
    <t>WHERE</t>
  </si>
  <si>
    <t>(</t>
  </si>
  <si>
    <r>
      <t>table0.Create_Date_date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&lt;=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CAST</t>
    </r>
    <r>
      <rPr>
        <sz val="12"/>
        <color rgb="FF3C4043"/>
        <rFont val="Menlo"/>
        <family val="2"/>
      </rPr>
      <t>(</t>
    </r>
    <r>
      <rPr>
        <sz val="12"/>
        <color rgb="FF188038"/>
        <rFont val="Menlo"/>
        <family val="2"/>
      </rPr>
      <t>'2025-12-31'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</t>
    </r>
    <r>
      <rPr>
        <sz val="12"/>
        <color rgb="FF3C4043"/>
        <rFont val="Menlo"/>
        <family val="2"/>
      </rPr>
      <t>)</t>
    </r>
  </si>
  <si>
    <t>)</t>
  </si>
  <si>
    <r>
      <t>GROUP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</si>
  <si>
    <r>
      <t>EOPeriodDate</t>
    </r>
    <r>
      <rPr>
        <sz val="12"/>
        <color rgb="FF202124"/>
        <rFont val="Menlo"/>
        <family val="2"/>
      </rPr>
      <t>,</t>
    </r>
  </si>
  <si>
    <t>ProjectUniqueID</t>
  </si>
  <si>
    <r>
      <t>)</t>
    </r>
    <r>
      <rPr>
        <sz val="12"/>
        <color rgb="FF202124"/>
        <rFont val="Menlo"/>
        <family val="2"/>
      </rPr>
      <t>,</t>
    </r>
  </si>
  <si>
    <r>
      <t>subqueryTable1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</si>
  <si>
    <r>
      <t>SUM</t>
    </r>
    <r>
      <rPr>
        <sz val="12"/>
        <color rgb="FF3C4043"/>
        <rFont val="Menlo"/>
        <family val="2"/>
      </rPr>
      <t>(</t>
    </r>
  </si>
  <si>
    <t>CASE</t>
  </si>
  <si>
    <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table1.TXNDATE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&lt;=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CAST</t>
    </r>
    <r>
      <rPr>
        <sz val="12"/>
        <color rgb="FF3C4043"/>
        <rFont val="Menlo"/>
        <family val="2"/>
      </rPr>
      <t>(</t>
    </r>
    <r>
      <rPr>
        <sz val="12"/>
        <color rgb="FF188038"/>
        <rFont val="Menlo"/>
        <family val="2"/>
      </rPr>
      <t>'2025-12-31'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</t>
    </r>
    <r>
      <rPr>
        <sz val="12"/>
        <color rgb="FF3C4043"/>
        <rFont val="Menlo"/>
        <family val="2"/>
      </rPr>
      <t>))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table1.Invoice_Amount</t>
    </r>
  </si>
  <si>
    <t>END</t>
  </si>
  <si>
    <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BilledAmount</t>
    </r>
    <r>
      <rPr>
        <sz val="12"/>
        <color rgb="FF202124"/>
        <rFont val="Menlo"/>
        <family val="2"/>
      </rPr>
      <t>,</t>
    </r>
  </si>
  <si>
    <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table1.TXNDATE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&lt;=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CAST</t>
    </r>
    <r>
      <rPr>
        <sz val="12"/>
        <color rgb="FF3C4043"/>
        <rFont val="Menlo"/>
        <family val="2"/>
      </rPr>
      <t>(</t>
    </r>
    <r>
      <rPr>
        <sz val="12"/>
        <color rgb="FF188038"/>
        <rFont val="Menlo"/>
        <family val="2"/>
      </rPr>
      <t>'2025-12-31'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</t>
    </r>
    <r>
      <rPr>
        <sz val="12"/>
        <color rgb="FF3C4043"/>
        <rFont val="Menlo"/>
        <family val="2"/>
      </rPr>
      <t>))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table1.Tran_amount</t>
    </r>
  </si>
  <si>
    <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EstimatedTotalCost</t>
    </r>
    <r>
      <rPr>
        <sz val="12"/>
        <color rgb="FF202124"/>
        <rFont val="Menlo"/>
        <family val="2"/>
      </rPr>
      <t>,</t>
    </r>
  </si>
  <si>
    <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table1.TXNDATE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&lt;=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CAST</t>
    </r>
    <r>
      <rPr>
        <sz val="12"/>
        <color rgb="FF3C4043"/>
        <rFont val="Menlo"/>
        <family val="2"/>
      </rPr>
      <t>(</t>
    </r>
    <r>
      <rPr>
        <sz val="12"/>
        <color rgb="FF188038"/>
        <rFont val="Menlo"/>
        <family val="2"/>
      </rPr>
      <t>'2025-12-31'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</t>
    </r>
    <r>
      <rPr>
        <sz val="12"/>
        <color rgb="FF3C4043"/>
        <rFont val="Menlo"/>
        <family val="2"/>
      </rPr>
      <t>))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table1.Earned_Revenue</t>
    </r>
  </si>
  <si>
    <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JTD_Earned_Revenue_New__custom</t>
    </r>
    <r>
      <rPr>
        <sz val="12"/>
        <color rgb="FF202124"/>
        <rFont val="Menlo"/>
        <family val="2"/>
      </rPr>
      <t>,</t>
    </r>
  </si>
  <si>
    <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EarnedRevenue</t>
    </r>
    <r>
      <rPr>
        <sz val="12"/>
        <color rgb="FF202124"/>
        <rFont val="Menlo"/>
        <family val="2"/>
      </rPr>
      <t>,</t>
    </r>
  </si>
  <si>
    <r>
      <t>table1.Job_Number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ProjectUniqueID</t>
    </r>
  </si>
  <si>
    <r>
      <t>EARNED_REVENUE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table1</t>
    </r>
  </si>
  <si>
    <r>
      <t>subqueryTable2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</si>
  <si>
    <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table2.END_DATE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IN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CAST</t>
    </r>
    <r>
      <rPr>
        <sz val="12"/>
        <color rgb="FF3C4043"/>
        <rFont val="Menlo"/>
        <family val="2"/>
      </rPr>
      <t>(</t>
    </r>
    <r>
      <rPr>
        <sz val="12"/>
        <color rgb="FF188038"/>
        <rFont val="Menlo"/>
        <family val="2"/>
      </rPr>
      <t>'2025-12-31'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TIMESTAMP</t>
    </r>
    <r>
      <rPr>
        <sz val="12"/>
        <color rgb="FF3C4043"/>
        <rFont val="Menlo"/>
        <family val="2"/>
      </rPr>
      <t>)))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table2.REVISED_CONTRACT_AMOUNT</t>
    </r>
  </si>
  <si>
    <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CurrentContractAmount</t>
    </r>
    <r>
      <rPr>
        <sz val="12"/>
        <color rgb="FF202124"/>
        <rFont val="Menlo"/>
        <family val="2"/>
      </rPr>
      <t>,</t>
    </r>
  </si>
  <si>
    <r>
      <t>table2.New_Job_Number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ProjectUniqueID</t>
    </r>
  </si>
  <si>
    <r>
      <t>CR_CONTRACT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table2</t>
    </r>
  </si>
  <si>
    <r>
      <t>(</t>
    </r>
    <r>
      <rPr>
        <sz val="12"/>
        <color rgb="FF000000"/>
        <rFont val="Menlo"/>
        <family val="2"/>
      </rPr>
      <t>table2.Company_Code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IN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  <r>
      <rPr>
        <sz val="12"/>
        <color rgb="FF188038"/>
        <rFont val="Menlo"/>
        <family val="2"/>
      </rPr>
      <t>'NAE'</t>
    </r>
    <r>
      <rPr>
        <sz val="12"/>
        <color rgb="FF3C4043"/>
        <rFont val="Menlo"/>
        <family val="2"/>
      </rPr>
      <t>))</t>
    </r>
  </si>
  <si>
    <r>
      <t>subqueryTable3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</si>
  <si>
    <r>
      <t>SUM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table3.EstGMPerc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estimatedgmpercentage__custom</t>
    </r>
    <r>
      <rPr>
        <sz val="12"/>
        <color rgb="FF202124"/>
        <rFont val="Menlo"/>
        <family val="2"/>
      </rPr>
      <t>,</t>
    </r>
  </si>
  <si>
    <r>
      <t>SUM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table3.PMEstGMPerc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pmestimatedgmpercentage__custom</t>
    </r>
    <r>
      <rPr>
        <sz val="12"/>
        <color rgb="FF202124"/>
        <rFont val="Menlo"/>
        <family val="2"/>
      </rPr>
      <t>,</t>
    </r>
  </si>
  <si>
    <r>
      <t>SUM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table3.EstPercCompAtYE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PMEstimateGMPctNew__custom</t>
    </r>
    <r>
      <rPr>
        <sz val="12"/>
        <color rgb="FF202124"/>
        <rFont val="Menlo"/>
        <family val="2"/>
      </rPr>
      <t>,</t>
    </r>
  </si>
  <si>
    <r>
      <t>table3.ProjectUniqueID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ProjectUniqueID</t>
    </r>
  </si>
  <si>
    <r>
      <t>PROJECT_REPORTS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table3</t>
    </r>
  </si>
  <si>
    <r>
      <t>subqueryTable4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</si>
  <si>
    <r>
      <t>MAX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table4.Division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Division__custom</t>
    </r>
    <r>
      <rPr>
        <sz val="12"/>
        <color rgb="FF202124"/>
        <rFont val="Menlo"/>
        <family val="2"/>
      </rPr>
      <t>,</t>
    </r>
  </si>
  <si>
    <r>
      <t>MAX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table4.Division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Opportunity_Division__custom</t>
    </r>
    <r>
      <rPr>
        <sz val="12"/>
        <color rgb="FF202124"/>
        <rFont val="Menlo"/>
        <family val="2"/>
      </rPr>
      <t>,</t>
    </r>
  </si>
  <si>
    <r>
      <t>table4.New_Job_Number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ProjectUniqueID</t>
    </r>
  </si>
  <si>
    <r>
      <t>DIVISION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table4</t>
    </r>
  </si>
  <si>
    <r>
      <t>(</t>
    </r>
    <r>
      <rPr>
        <sz val="12"/>
        <color rgb="FF000000"/>
        <rFont val="Menlo"/>
        <family val="2"/>
      </rPr>
      <t>table4.Company_Code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IN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  <r>
      <rPr>
        <sz val="12"/>
        <color rgb="FF188038"/>
        <rFont val="Menlo"/>
        <family val="2"/>
      </rPr>
      <t>'NAE'</t>
    </r>
    <r>
      <rPr>
        <sz val="12"/>
        <color rgb="FF3C4043"/>
        <rFont val="Menlo"/>
        <family val="2"/>
      </rPr>
      <t>))</t>
    </r>
  </si>
  <si>
    <r>
      <t>subqueryTable5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</si>
  <si>
    <r>
      <t>SUM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table5.Payment_Amount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Margin</t>
    </r>
    <r>
      <rPr>
        <sz val="12"/>
        <color rgb="FF202124"/>
        <rFont val="Menlo"/>
        <family val="2"/>
      </rPr>
      <t>,</t>
    </r>
  </si>
  <si>
    <r>
      <t>table5.Job_Number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ProjectUniqueID</t>
    </r>
  </si>
  <si>
    <r>
      <t>PAY_ADJUSTMENTAS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table5</t>
    </r>
  </si>
  <si>
    <r>
      <t>(</t>
    </r>
    <r>
      <rPr>
        <sz val="12"/>
        <color rgb="FF000000"/>
        <rFont val="Menlo"/>
        <family val="2"/>
      </rPr>
      <t>table5.Company_Code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IN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  <r>
      <rPr>
        <sz val="12"/>
        <color rgb="FF188038"/>
        <rFont val="Menlo"/>
        <family val="2"/>
      </rPr>
      <t>'NAE'</t>
    </r>
    <r>
      <rPr>
        <sz val="12"/>
        <color rgb="FF3C4043"/>
        <rFont val="Menlo"/>
        <family val="2"/>
      </rPr>
      <t>))</t>
    </r>
  </si>
  <si>
    <r>
      <t>subqueryTable6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</si>
  <si>
    <r>
      <t>SUM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table6.Current_Invoice_Balance_Amount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CurrentBudget</t>
    </r>
    <r>
      <rPr>
        <sz val="12"/>
        <color rgb="FF202124"/>
        <rFont val="Menlo"/>
        <family val="2"/>
      </rPr>
      <t>,</t>
    </r>
  </si>
  <si>
    <r>
      <t>SUM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table6.One_Invoice_Balance_Amount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ContractCO</t>
    </r>
    <r>
      <rPr>
        <sz val="12"/>
        <color rgb="FF202124"/>
        <rFont val="Menlo"/>
        <family val="2"/>
      </rPr>
      <t>,</t>
    </r>
  </si>
  <si>
    <r>
      <t>SUM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table6.Thirty_Days_Invoice_Balance_Amount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CostsAdj</t>
    </r>
    <r>
      <rPr>
        <sz val="12"/>
        <color rgb="FF202124"/>
        <rFont val="Menlo"/>
        <family val="2"/>
      </rPr>
      <t>,</t>
    </r>
  </si>
  <si>
    <r>
      <t>SUM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table6.Over_Ninety_Days_Invoice_Balance_Amount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PendingContractCO</t>
    </r>
    <r>
      <rPr>
        <sz val="12"/>
        <color rgb="FF202124"/>
        <rFont val="Menlo"/>
        <family val="2"/>
      </rPr>
      <t>,</t>
    </r>
  </si>
  <si>
    <r>
      <t>SUM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table6.Sixty_Days_Invoice_Balance_Amount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PendingCO</t>
    </r>
    <r>
      <rPr>
        <sz val="12"/>
        <color rgb="FF202124"/>
        <rFont val="Menlo"/>
        <family val="2"/>
      </rPr>
      <t>,</t>
    </r>
  </si>
  <si>
    <r>
      <t>table6.Job_Number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ProjectUniqueID</t>
    </r>
  </si>
  <si>
    <r>
      <t>AR_AGING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table6</t>
    </r>
  </si>
  <si>
    <r>
      <t>(</t>
    </r>
    <r>
      <rPr>
        <sz val="12"/>
        <color rgb="FF000000"/>
        <rFont val="Menlo"/>
        <family val="2"/>
      </rPr>
      <t>table6.Company_Code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IN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  <r>
      <rPr>
        <sz val="12"/>
        <color rgb="FF188038"/>
        <rFont val="Menlo"/>
        <family val="2"/>
      </rPr>
      <t>'NAE'</t>
    </r>
    <r>
      <rPr>
        <sz val="12"/>
        <color rgb="FF3C4043"/>
        <rFont val="Menlo"/>
        <family val="2"/>
      </rPr>
      <t>))</t>
    </r>
  </si>
  <si>
    <r>
      <t>subqueryTable7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</si>
  <si>
    <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table7.Cost_Type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IN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  <r>
      <rPr>
        <sz val="12"/>
        <color rgb="FF188038"/>
        <rFont val="Menlo"/>
        <family val="2"/>
      </rPr>
      <t>'B'</t>
    </r>
    <r>
      <rPr>
        <sz val="12"/>
        <color rgb="FF3C4043"/>
        <rFont val="Menlo"/>
        <family val="2"/>
      </rPr>
      <t>))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table7.Tran_Amount</t>
    </r>
  </si>
  <si>
    <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Burden__custom</t>
    </r>
    <r>
      <rPr>
        <sz val="12"/>
        <color rgb="FF202124"/>
        <rFont val="Menlo"/>
        <family val="2"/>
      </rPr>
      <t>,</t>
    </r>
  </si>
  <si>
    <r>
      <t>table7.Job_Number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ProjectUniqueID</t>
    </r>
  </si>
  <si>
    <r>
      <t>TRANSACTION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table7</t>
    </r>
  </si>
  <si>
    <r>
      <t>MAX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subqueryTable0.CorporateFilter__custom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CorporateFilter__custom</t>
    </r>
    <r>
      <rPr>
        <sz val="12"/>
        <color rgb="FF202124"/>
        <rFont val="Menlo"/>
        <family val="2"/>
      </rPr>
      <t>,</t>
    </r>
  </si>
  <si>
    <r>
      <t>MAX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subqueryTable0.Project_Manager__custom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Project_Manager__custom</t>
    </r>
    <r>
      <rPr>
        <sz val="12"/>
        <color rgb="FF202124"/>
        <rFont val="Menlo"/>
        <family val="2"/>
      </rPr>
      <t>,</t>
    </r>
  </si>
  <si>
    <r>
      <t>MAX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subqueryTable0.projectmanager__standard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projectmanager__standard</t>
    </r>
    <r>
      <rPr>
        <sz val="12"/>
        <color rgb="FF202124"/>
        <rFont val="Menlo"/>
        <family val="2"/>
      </rPr>
      <t>,</t>
    </r>
  </si>
  <si>
    <r>
      <t>SUM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subqueryTable0.EStimatedGMPct__custom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EStimatedGMPct__custom</t>
    </r>
    <r>
      <rPr>
        <sz val="12"/>
        <color rgb="FF202124"/>
        <rFont val="Menlo"/>
        <family val="2"/>
      </rPr>
      <t>,</t>
    </r>
  </si>
  <si>
    <r>
      <t>SUM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subqueryTable1.BilledAmount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BilledAmount</t>
    </r>
    <r>
      <rPr>
        <sz val="12"/>
        <color rgb="FF202124"/>
        <rFont val="Menlo"/>
        <family val="2"/>
      </rPr>
      <t>,</t>
    </r>
  </si>
  <si>
    <r>
      <t>SUM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subqueryTable1.EstimatedTotalCost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EstimatedTotalCost</t>
    </r>
    <r>
      <rPr>
        <sz val="12"/>
        <color rgb="FF202124"/>
        <rFont val="Menlo"/>
        <family val="2"/>
      </rPr>
      <t>,</t>
    </r>
  </si>
  <si>
    <r>
      <t>SUM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subqueryTable1.JTD_Earned_Revenue_New__custom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JTD_Earned_Revenue_New__custom</t>
    </r>
    <r>
      <rPr>
        <sz val="12"/>
        <color rgb="FF202124"/>
        <rFont val="Menlo"/>
        <family val="2"/>
      </rPr>
      <t>,</t>
    </r>
  </si>
  <si>
    <r>
      <t>SUM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subqueryTable1.EarnedRevenue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EarnedRevenue</t>
    </r>
    <r>
      <rPr>
        <sz val="12"/>
        <color rgb="FF202124"/>
        <rFont val="Menlo"/>
        <family val="2"/>
      </rPr>
      <t>,</t>
    </r>
  </si>
  <si>
    <r>
      <t>SUM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subqueryTable2.CurrentContractAmount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CurrentContractAmount</t>
    </r>
    <r>
      <rPr>
        <sz val="12"/>
        <color rgb="FF202124"/>
        <rFont val="Menlo"/>
        <family val="2"/>
      </rPr>
      <t>,</t>
    </r>
  </si>
  <si>
    <r>
      <t>SUM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subqueryTable3.estimatedgmpercentage__custom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estimatedgmpercentage__custom</t>
    </r>
    <r>
      <rPr>
        <sz val="12"/>
        <color rgb="FF202124"/>
        <rFont val="Menlo"/>
        <family val="2"/>
      </rPr>
      <t>,</t>
    </r>
  </si>
  <si>
    <r>
      <t>SUM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subqueryTable3.pmestimatedgmpercentage__custom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pmestimatedgmpercentage__custom</t>
    </r>
    <r>
      <rPr>
        <sz val="12"/>
        <color rgb="FF202124"/>
        <rFont val="Menlo"/>
        <family val="2"/>
      </rPr>
      <t>,</t>
    </r>
  </si>
  <si>
    <r>
      <t>SUM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subqueryTable3.PMEstimateGMPctNew__custom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PMEstimateGMPctNew__custom</t>
    </r>
    <r>
      <rPr>
        <sz val="12"/>
        <color rgb="FF202124"/>
        <rFont val="Menlo"/>
        <family val="2"/>
      </rPr>
      <t>,</t>
    </r>
  </si>
  <si>
    <r>
      <t>MAX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subqueryTable4.Division__custom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Division__custom</t>
    </r>
    <r>
      <rPr>
        <sz val="12"/>
        <color rgb="FF202124"/>
        <rFont val="Menlo"/>
        <family val="2"/>
      </rPr>
      <t>,</t>
    </r>
  </si>
  <si>
    <r>
      <t>MAX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subqueryTable4.Opportunity_Division__custom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Opportunity_Division__custom</t>
    </r>
    <r>
      <rPr>
        <sz val="12"/>
        <color rgb="FF202124"/>
        <rFont val="Menlo"/>
        <family val="2"/>
      </rPr>
      <t>,</t>
    </r>
  </si>
  <si>
    <r>
      <t>SUM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subqueryTable5.Margin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Margin</t>
    </r>
    <r>
      <rPr>
        <sz val="12"/>
        <color rgb="FF202124"/>
        <rFont val="Menlo"/>
        <family val="2"/>
      </rPr>
      <t>,</t>
    </r>
  </si>
  <si>
    <r>
      <t>SUM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subqueryTable6.CurrentBudget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CurrentBudget</t>
    </r>
    <r>
      <rPr>
        <sz val="12"/>
        <color rgb="FF202124"/>
        <rFont val="Menlo"/>
        <family val="2"/>
      </rPr>
      <t>,</t>
    </r>
  </si>
  <si>
    <r>
      <t>SUM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subqueryTable6.ContractCO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ContractCO</t>
    </r>
    <r>
      <rPr>
        <sz val="12"/>
        <color rgb="FF202124"/>
        <rFont val="Menlo"/>
        <family val="2"/>
      </rPr>
      <t>,</t>
    </r>
  </si>
  <si>
    <r>
      <t>SUM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subqueryTable6.CostsAdj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CostsAdj</t>
    </r>
    <r>
      <rPr>
        <sz val="12"/>
        <color rgb="FF202124"/>
        <rFont val="Menlo"/>
        <family val="2"/>
      </rPr>
      <t>,</t>
    </r>
  </si>
  <si>
    <r>
      <t>SUM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subqueryTable6.PendingContractCO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PendingContractCO</t>
    </r>
    <r>
      <rPr>
        <sz val="12"/>
        <color rgb="FF202124"/>
        <rFont val="Menlo"/>
        <family val="2"/>
      </rPr>
      <t>,</t>
    </r>
  </si>
  <si>
    <r>
      <t>SUM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subqueryTable6.PendingCO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PendingCO</t>
    </r>
    <r>
      <rPr>
        <sz val="12"/>
        <color rgb="FF202124"/>
        <rFont val="Menlo"/>
        <family val="2"/>
      </rPr>
      <t>,</t>
    </r>
  </si>
  <si>
    <r>
      <t>SUM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subqueryTable7.Burden__custom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Burden__custom</t>
    </r>
    <r>
      <rPr>
        <sz val="12"/>
        <color rgb="FF202124"/>
        <rFont val="Menlo"/>
        <family val="2"/>
      </rPr>
      <t>,</t>
    </r>
  </si>
  <si>
    <r>
      <t>subqueryTable0.EOPeriodDate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EOPeriodDate</t>
    </r>
    <r>
      <rPr>
        <sz val="12"/>
        <color rgb="FF202124"/>
        <rFont val="Menlo"/>
        <family val="2"/>
      </rPr>
      <t>,</t>
    </r>
  </si>
  <si>
    <r>
      <t>subqueryTable0.ProjectUniqueID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ProjectUniqueID</t>
    </r>
    <r>
      <rPr>
        <sz val="12"/>
        <color rgb="FF202124"/>
        <rFont val="Menlo"/>
        <family val="2"/>
      </rPr>
      <t>,</t>
    </r>
  </si>
  <si>
    <r>
      <t>CAST</t>
    </r>
    <r>
      <rPr>
        <sz val="12"/>
        <color rgb="FF3C4043"/>
        <rFont val="Menlo"/>
        <family val="2"/>
      </rPr>
      <t>(</t>
    </r>
    <r>
      <rPr>
        <sz val="12"/>
        <color rgb="FF188038"/>
        <rFont val="Menlo"/>
        <family val="2"/>
      </rPr>
      <t>'2026-02-01 15:34:59'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DATETIME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BQInsertTimeUTC</t>
    </r>
    <r>
      <rPr>
        <sz val="12"/>
        <color rgb="FF202124"/>
        <rFont val="Menlo"/>
        <family val="2"/>
      </rPr>
      <t>,</t>
    </r>
  </si>
  <si>
    <t>subqueryTable0</t>
  </si>
  <si>
    <r>
      <t>LEFT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JOIN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subqueryTable1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ON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subqueryTable0.EOPeriodDate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subqueryTable1.EOPeriodDate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</si>
  <si>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subqueryTable0.ProjectUniqueID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subqueryTable1.ProjectUniqueID</t>
    </r>
  </si>
  <si>
    <r>
      <t>LEFT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JOIN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subqueryTable2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ON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subqueryTable0.EOPeriodDate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subqueryTable2.EOPeriodDate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</si>
  <si>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subqueryTable0.ProjectUniqueID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subqueryTable2.ProjectUniqueID</t>
    </r>
  </si>
  <si>
    <r>
      <t>LEFT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JOIN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subqueryTable3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ON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subqueryTable0.EOPeriodDate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subqueryTable3.EOPeriodDate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</si>
  <si>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subqueryTable0.ProjectUniqueID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subqueryTable3.ProjectUniqueID</t>
    </r>
  </si>
  <si>
    <r>
      <t>LEFT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JOIN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subqueryTable4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ON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subqueryTable0.EOPeriodDate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subqueryTable4.EOPeriodDate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</si>
  <si>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subqueryTable0.ProjectUniqueID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subqueryTable4.ProjectUniqueID</t>
    </r>
  </si>
  <si>
    <r>
      <t>LEFT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JOIN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subqueryTable5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ON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subqueryTable0.EOPeriodDate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subqueryTable5.EOPeriodDate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</si>
  <si>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subqueryTable0.ProjectUniqueID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subqueryTable5.ProjectUniqueID</t>
    </r>
  </si>
  <si>
    <r>
      <t>LEFT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JOIN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subqueryTable6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ON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subqueryTable0.EOPeriodDate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subqueryTable6.EOPeriodDate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</si>
  <si>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subqueryTable0.ProjectUniqueID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subqueryTable6.ProjectUniqueID</t>
    </r>
  </si>
  <si>
    <r>
      <t>LEFT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JOIN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subqueryTable7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ON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subqueryTable0.EOPeriodDate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subqueryTable7.EOPeriodDate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</si>
  <si>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subqueryTable0.ProjectUniqueID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subqueryTable7.ProjectUniqueID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</si>
</sst>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;\-0;\-;@"/>
    <numFmt numFmtId="165" formatCode="#,##0;[Red]\(#,##0\);&quot;-&quot;"/>
    <numFmt numFmtId="166" formatCode="0.00%;[Red]\(0.00%\);&quot;-&quot;"/>
    <numFmt numFmtId="167" formatCode="mmm\ d\,\ yyyy"/>
  </numFmts>
  <fonts count="14" x14ac:knownFonts="1">
    <font>
      <sz val="11"/>
      <color rgb="FF000000"/>
      <name val="Calibri"/>
      <scheme val="minor"/>
    </font>
    <font>
      <sz val="11"/>
      <color indexed="0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b/>
      <sz val="11"/>
      <color theme="1"/>
      <name val="Calibri"/>
      <family val="2"/>
    </font>
    <font>
      <b/>
      <sz val="14"/>
      <name val="Calibri"/>
      <family val="2"/>
    </font>
    <font>
      <sz val="11"/>
      <name val="Trebuchet MS"/>
      <family val="2"/>
    </font>
    <font>
      <sz val="11"/>
      <name val="Calibri"/>
      <family val="2"/>
    </font>
    <font>
      <sz val="9"/>
      <color rgb="FFFFFFFF"/>
      <name val="Arial"/>
      <family val="2"/>
    </font>
    <font>
      <sz val="12"/>
      <color rgb="FF202124"/>
      <name val="Menlo"/>
      <family val="2"/>
    </font>
    <font>
      <sz val="12"/>
      <color rgb="FF1967D2"/>
      <name val="Menlo"/>
      <family val="2"/>
    </font>
    <font>
      <sz val="12"/>
      <color rgb="FF000000"/>
      <name val="Menlo"/>
      <family val="2"/>
    </font>
    <font>
      <sz val="12"/>
      <color rgb="FF3C4043"/>
      <name val="Menlo"/>
      <family val="2"/>
    </font>
    <font>
      <sz val="12"/>
      <color rgb="FF188038"/>
      <name val="Menlo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5"/>
      </patternFill>
    </fill>
    <fill>
      <patternFill patternType="solid">
        <fgColor theme="0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2"/>
      </patternFill>
    </fill>
    <fill>
      <patternFill patternType="solid">
        <fgColor theme="7" tint="0.79998168889431442"/>
        <bgColor indexed="65"/>
      </patternFill>
    </fill>
    <fill>
      <patternFill patternType="solid">
        <fgColor rgb="FF92D050"/>
      </patternFill>
    </fill>
    <fill>
      <patternFill patternType="solid">
        <fgColor theme="7" tint="0.39997558519241921"/>
        <bgColor indexed="65"/>
      </patternFill>
    </fill>
    <fill>
      <patternFill patternType="solid">
        <fgColor rgb="FF00B0F0"/>
      </patternFill>
    </fill>
  </fills>
  <borders count="20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7F7F7F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theme="0" tint="-0.499984740745262"/>
      </right>
      <top style="thin">
        <color rgb="FF7F7F7F"/>
      </top>
      <bottom style="thin">
        <color rgb="FF7F7F7F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rgb="FF7F7F7F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rgb="FF7F7F7F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rgb="FF7F7F7F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rgb="FF7F7F7F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0" tint="-0.499984740745262"/>
      </left>
      <right style="thin">
        <color rgb="FF000000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>
      <alignment vertical="top"/>
    </xf>
  </cellStyleXfs>
  <cellXfs count="116">
    <xf numFmtId="0" fontId="0" fillId="0" borderId="0" xfId="0">
      <alignment vertical="top"/>
    </xf>
    <xf numFmtId="164" fontId="1" fillId="0" borderId="0" xfId="0" applyNumberFormat="1" applyFont="1">
      <alignment vertical="top"/>
    </xf>
    <xf numFmtId="0" fontId="1" fillId="0" borderId="0" xfId="0" applyFont="1">
      <alignment vertical="top"/>
    </xf>
    <xf numFmtId="164" fontId="1" fillId="0" borderId="0" xfId="0" applyNumberFormat="1" applyFont="1" applyAlignment="1">
      <alignment vertical="top" wrapText="1"/>
    </xf>
    <xf numFmtId="49" fontId="1" fillId="0" borderId="0" xfId="0" applyNumberFormat="1" applyFont="1">
      <alignment vertical="top"/>
    </xf>
    <xf numFmtId="0" fontId="2" fillId="0" borderId="0" xfId="0" applyFont="1">
      <alignment vertical="top"/>
    </xf>
    <xf numFmtId="164" fontId="2" fillId="0" borderId="0" xfId="0" applyNumberFormat="1" applyFont="1">
      <alignment vertical="top"/>
    </xf>
    <xf numFmtId="164" fontId="2" fillId="0" borderId="5" xfId="0" applyNumberFormat="1" applyFont="1" applyBorder="1">
      <alignment vertical="top"/>
    </xf>
    <xf numFmtId="164" fontId="2" fillId="0" borderId="5" xfId="0" applyNumberFormat="1" applyFont="1" applyBorder="1" applyAlignment="1">
      <alignment horizontal="center" vertical="top"/>
    </xf>
    <xf numFmtId="164" fontId="2" fillId="0" borderId="6" xfId="0" applyNumberFormat="1" applyFont="1" applyBorder="1">
      <alignment vertical="top"/>
    </xf>
    <xf numFmtId="164" fontId="2" fillId="0" borderId="8" xfId="0" applyNumberFormat="1" applyFont="1" applyBorder="1">
      <alignment vertical="top"/>
    </xf>
    <xf numFmtId="0" fontId="2" fillId="0" borderId="0" xfId="0" applyFont="1" applyAlignment="1">
      <alignment horizontal="center" vertical="top" wrapText="1"/>
    </xf>
    <xf numFmtId="164" fontId="2" fillId="0" borderId="0" xfId="0" applyNumberFormat="1" applyFont="1" applyAlignment="1">
      <alignment horizontal="center" vertical="top" wrapText="1"/>
    </xf>
    <xf numFmtId="164" fontId="2" fillId="2" borderId="4" xfId="0" applyNumberFormat="1" applyFont="1" applyFill="1" applyBorder="1" applyAlignment="1">
      <alignment horizontal="center" vertical="top" wrapText="1"/>
    </xf>
    <xf numFmtId="164" fontId="3" fillId="2" borderId="5" xfId="0" applyNumberFormat="1" applyFont="1" applyFill="1" applyBorder="1" applyAlignment="1">
      <alignment horizontal="center" vertical="top" wrapText="1"/>
    </xf>
    <xf numFmtId="164" fontId="3" fillId="2" borderId="9" xfId="0" applyNumberFormat="1" applyFont="1" applyFill="1" applyBorder="1" applyAlignment="1">
      <alignment horizontal="center" vertical="top" wrapText="1"/>
    </xf>
    <xf numFmtId="164" fontId="2" fillId="2" borderId="5" xfId="0" applyNumberFormat="1" applyFont="1" applyFill="1" applyBorder="1" applyAlignment="1">
      <alignment horizontal="center" vertical="top" wrapText="1"/>
    </xf>
    <xf numFmtId="164" fontId="3" fillId="0" borderId="0" xfId="0" applyNumberFormat="1" applyFont="1" applyAlignment="1">
      <alignment horizontal="center" vertical="top" wrapText="1"/>
    </xf>
    <xf numFmtId="0" fontId="1" fillId="3" borderId="0" xfId="0" applyFont="1" applyFill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164" fontId="4" fillId="0" borderId="5" xfId="0" applyNumberFormat="1" applyFont="1" applyBorder="1" applyAlignment="1">
      <alignment horizontal="center" vertical="center" wrapText="1"/>
    </xf>
    <xf numFmtId="164" fontId="4" fillId="0" borderId="10" xfId="0" applyNumberFormat="1" applyFont="1" applyBorder="1" applyAlignment="1">
      <alignment horizontal="center" vertical="center" wrapText="1"/>
    </xf>
    <xf numFmtId="164" fontId="4" fillId="0" borderId="10" xfId="0" applyNumberFormat="1" applyFont="1" applyBorder="1" applyAlignment="1" applyProtection="1">
      <alignment horizontal="center" vertical="center" wrapText="1"/>
      <protection locked="0"/>
    </xf>
    <xf numFmtId="164" fontId="4" fillId="3" borderId="0" xfId="0" applyNumberFormat="1" applyFont="1" applyFill="1" applyAlignment="1">
      <alignment horizontal="center" vertical="center" wrapText="1"/>
    </xf>
    <xf numFmtId="164" fontId="4" fillId="0" borderId="5" xfId="0" applyNumberFormat="1" applyFont="1" applyBorder="1" applyAlignment="1" applyProtection="1">
      <alignment horizontal="center" vertical="center" wrapText="1"/>
      <protection locked="0"/>
    </xf>
    <xf numFmtId="164" fontId="4" fillId="4" borderId="0" xfId="0" applyNumberFormat="1" applyFont="1" applyFill="1" applyAlignment="1">
      <alignment horizontal="center" vertical="center" wrapText="1"/>
    </xf>
    <xf numFmtId="164" fontId="4" fillId="3" borderId="0" xfId="0" applyNumberFormat="1" applyFont="1" applyFill="1" applyAlignment="1" applyProtection="1">
      <alignment horizontal="center" vertical="center" wrapText="1"/>
      <protection locked="0"/>
    </xf>
    <xf numFmtId="49" fontId="1" fillId="0" borderId="5" xfId="0" applyNumberFormat="1" applyFont="1" applyBorder="1" applyAlignment="1">
      <alignment horizontal="left" vertical="top" indent="1"/>
    </xf>
    <xf numFmtId="165" fontId="1" fillId="0" borderId="11" xfId="0" applyNumberFormat="1" applyFont="1" applyBorder="1" applyAlignment="1">
      <alignment horizontal="left" vertical="top" indent="1"/>
    </xf>
    <xf numFmtId="10" fontId="1" fillId="0" borderId="11" xfId="0" applyNumberFormat="1" applyFont="1" applyBorder="1" applyAlignment="1">
      <alignment horizontal="left" vertical="top" indent="1"/>
    </xf>
    <xf numFmtId="166" fontId="1" fillId="5" borderId="11" xfId="0" applyNumberFormat="1" applyFont="1" applyFill="1" applyBorder="1" applyAlignment="1">
      <alignment horizontal="left" vertical="top" indent="1"/>
    </xf>
    <xf numFmtId="10" fontId="1" fillId="6" borderId="11" xfId="0" applyNumberFormat="1" applyFont="1" applyFill="1" applyBorder="1" applyAlignment="1" applyProtection="1">
      <alignment horizontal="left" vertical="top" indent="1"/>
      <protection locked="0"/>
    </xf>
    <xf numFmtId="165" fontId="1" fillId="5" borderId="11" xfId="0" applyNumberFormat="1" applyFont="1" applyFill="1" applyBorder="1" applyAlignment="1">
      <alignment horizontal="left" vertical="top" indent="1"/>
    </xf>
    <xf numFmtId="10" fontId="1" fillId="0" borderId="12" xfId="0" applyNumberFormat="1" applyFont="1" applyBorder="1" applyAlignment="1">
      <alignment horizontal="left" vertical="top" indent="1"/>
    </xf>
    <xf numFmtId="10" fontId="1" fillId="6" borderId="6" xfId="0" applyNumberFormat="1" applyFont="1" applyFill="1" applyBorder="1" applyAlignment="1" applyProtection="1">
      <alignment horizontal="left" vertical="top" indent="1"/>
      <protection locked="0"/>
    </xf>
    <xf numFmtId="165" fontId="1" fillId="0" borderId="6" xfId="0" applyNumberFormat="1" applyFont="1" applyBorder="1" applyAlignment="1">
      <alignment horizontal="left" vertical="top" indent="1"/>
    </xf>
    <xf numFmtId="165" fontId="1" fillId="0" borderId="13" xfId="0" applyNumberFormat="1" applyFont="1" applyBorder="1" applyAlignment="1">
      <alignment horizontal="left" vertical="top" indent="1"/>
    </xf>
    <xf numFmtId="2" fontId="1" fillId="0" borderId="0" xfId="0" applyNumberFormat="1" applyFont="1">
      <alignment vertical="top"/>
    </xf>
    <xf numFmtId="49" fontId="1" fillId="6" borderId="5" xfId="0" applyNumberFormat="1" applyFont="1" applyFill="1" applyBorder="1" applyProtection="1">
      <alignment vertical="top"/>
      <protection locked="0"/>
    </xf>
    <xf numFmtId="166" fontId="1" fillId="0" borderId="0" xfId="0" applyNumberFormat="1" applyFont="1">
      <alignment vertical="top"/>
    </xf>
    <xf numFmtId="164" fontId="1" fillId="0" borderId="14" xfId="0" applyNumberFormat="1" applyFont="1" applyBorder="1" applyProtection="1">
      <alignment vertical="top"/>
      <protection locked="0"/>
    </xf>
    <xf numFmtId="49" fontId="3" fillId="0" borderId="5" xfId="0" applyNumberFormat="1" applyFont="1" applyBorder="1" applyAlignment="1">
      <alignment horizontal="left" vertical="top" indent="1"/>
    </xf>
    <xf numFmtId="164" fontId="3" fillId="0" borderId="5" xfId="0" applyNumberFormat="1" applyFont="1" applyBorder="1" applyAlignment="1">
      <alignment horizontal="left" vertical="top" indent="1"/>
    </xf>
    <xf numFmtId="165" fontId="2" fillId="0" borderId="11" xfId="0" applyNumberFormat="1" applyFont="1" applyBorder="1" applyAlignment="1">
      <alignment horizontal="left" vertical="top" indent="1"/>
    </xf>
    <xf numFmtId="165" fontId="3" fillId="0" borderId="11" xfId="0" applyNumberFormat="1" applyFont="1" applyBorder="1" applyAlignment="1">
      <alignment horizontal="left" vertical="top" indent="1"/>
    </xf>
    <xf numFmtId="10" fontId="2" fillId="0" borderId="5" xfId="0" applyNumberFormat="1" applyFont="1" applyBorder="1" applyAlignment="1">
      <alignment horizontal="left" vertical="top" indent="1"/>
    </xf>
    <xf numFmtId="166" fontId="2" fillId="5" borderId="5" xfId="0" applyNumberFormat="1" applyFont="1" applyFill="1" applyBorder="1" applyAlignment="1">
      <alignment horizontal="left" vertical="top" indent="1"/>
    </xf>
    <xf numFmtId="10" fontId="2" fillId="6" borderId="5" xfId="0" applyNumberFormat="1" applyFont="1" applyFill="1" applyBorder="1" applyAlignment="1" applyProtection="1">
      <alignment horizontal="left" vertical="top" indent="1"/>
      <protection locked="0"/>
    </xf>
    <xf numFmtId="165" fontId="2" fillId="5" borderId="11" xfId="0" applyNumberFormat="1" applyFont="1" applyFill="1" applyBorder="1" applyAlignment="1">
      <alignment horizontal="left" vertical="top" indent="1"/>
    </xf>
    <xf numFmtId="10" fontId="2" fillId="0" borderId="1" xfId="0" applyNumberFormat="1" applyFont="1" applyBorder="1" applyAlignment="1">
      <alignment horizontal="left" vertical="top" indent="1"/>
    </xf>
    <xf numFmtId="10" fontId="2" fillId="6" borderId="6" xfId="0" applyNumberFormat="1" applyFont="1" applyFill="1" applyBorder="1" applyAlignment="1">
      <alignment horizontal="left" vertical="top" indent="1"/>
    </xf>
    <xf numFmtId="165" fontId="2" fillId="0" borderId="6" xfId="0" applyNumberFormat="1" applyFont="1" applyBorder="1" applyAlignment="1">
      <alignment horizontal="left" vertical="top" indent="1"/>
    </xf>
    <xf numFmtId="165" fontId="2" fillId="0" borderId="13" xfId="0" applyNumberFormat="1" applyFont="1" applyBorder="1" applyAlignment="1">
      <alignment horizontal="left" vertical="top" indent="1"/>
    </xf>
    <xf numFmtId="10" fontId="2" fillId="6" borderId="5" xfId="0" applyNumberFormat="1" applyFont="1" applyFill="1" applyBorder="1" applyAlignment="1">
      <alignment horizontal="left" vertical="top" indent="1"/>
    </xf>
    <xf numFmtId="2" fontId="2" fillId="0" borderId="0" xfId="0" applyNumberFormat="1" applyFont="1">
      <alignment vertical="top"/>
    </xf>
    <xf numFmtId="49" fontId="3" fillId="6" borderId="5" xfId="0" applyNumberFormat="1" applyFont="1" applyFill="1" applyBorder="1" applyProtection="1">
      <alignment vertical="top"/>
      <protection locked="0"/>
    </xf>
    <xf numFmtId="164" fontId="2" fillId="3" borderId="5" xfId="0" applyNumberFormat="1" applyFont="1" applyFill="1" applyBorder="1" applyAlignment="1">
      <alignment horizontal="center" vertical="center" wrapText="1"/>
    </xf>
    <xf numFmtId="164" fontId="1" fillId="0" borderId="5" xfId="0" applyNumberFormat="1" applyFont="1" applyBorder="1">
      <alignment vertical="top"/>
    </xf>
    <xf numFmtId="0" fontId="2" fillId="0" borderId="0" xfId="0" applyFont="1" applyAlignment="1">
      <alignment horizontal="center" vertical="top"/>
    </xf>
    <xf numFmtId="164" fontId="2" fillId="2" borderId="5" xfId="0" applyNumberFormat="1" applyFont="1" applyFill="1" applyBorder="1" applyAlignment="1">
      <alignment horizontal="center" vertical="top"/>
    </xf>
    <xf numFmtId="164" fontId="6" fillId="0" borderId="5" xfId="0" applyNumberFormat="1" applyFont="1" applyBorder="1">
      <alignment vertical="top"/>
    </xf>
    <xf numFmtId="164" fontId="2" fillId="0" borderId="0" xfId="0" applyNumberFormat="1" applyFont="1" applyAlignment="1">
      <alignment vertical="center" wrapText="1"/>
    </xf>
    <xf numFmtId="164" fontId="2" fillId="0" borderId="5" xfId="0" applyNumberFormat="1" applyFont="1" applyBorder="1" applyAlignment="1">
      <alignment horizontal="center" vertical="top" wrapText="1"/>
    </xf>
    <xf numFmtId="164" fontId="2" fillId="3" borderId="16" xfId="0" applyNumberFormat="1" applyFont="1" applyFill="1" applyBorder="1" applyAlignment="1">
      <alignment horizontal="center" vertical="center" wrapText="1"/>
    </xf>
    <xf numFmtId="164" fontId="2" fillId="3" borderId="0" xfId="0" applyNumberFormat="1" applyFont="1" applyFill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 wrapText="1"/>
    </xf>
    <xf numFmtId="164" fontId="4" fillId="4" borderId="5" xfId="0" applyNumberFormat="1" applyFont="1" applyFill="1" applyBorder="1">
      <alignment vertical="top"/>
    </xf>
    <xf numFmtId="164" fontId="4" fillId="3" borderId="5" xfId="0" applyNumberFormat="1" applyFont="1" applyFill="1" applyBorder="1" applyAlignment="1">
      <alignment horizontal="center" vertical="center" wrapText="1"/>
    </xf>
    <xf numFmtId="164" fontId="4" fillId="3" borderId="10" xfId="0" applyNumberFormat="1" applyFont="1" applyFill="1" applyBorder="1" applyAlignment="1">
      <alignment horizontal="center" vertical="center" wrapText="1"/>
    </xf>
    <xf numFmtId="164" fontId="4" fillId="7" borderId="10" xfId="0" applyNumberFormat="1" applyFont="1" applyFill="1" applyBorder="1" applyAlignment="1">
      <alignment horizontal="center" vertical="center" wrapText="1"/>
    </xf>
    <xf numFmtId="164" fontId="4" fillId="8" borderId="10" xfId="0" applyNumberFormat="1" applyFont="1" applyFill="1" applyBorder="1" applyAlignment="1">
      <alignment horizontal="center" vertical="center" wrapText="1"/>
    </xf>
    <xf numFmtId="164" fontId="4" fillId="3" borderId="10" xfId="0" applyNumberFormat="1" applyFont="1" applyFill="1" applyBorder="1" applyAlignment="1" applyProtection="1">
      <alignment horizontal="center" vertical="center" wrapText="1"/>
      <protection locked="0"/>
    </xf>
    <xf numFmtId="164" fontId="4" fillId="9" borderId="10" xfId="0" applyNumberFormat="1" applyFont="1" applyFill="1" applyBorder="1" applyAlignment="1">
      <alignment horizontal="center" vertical="center" wrapText="1"/>
    </xf>
    <xf numFmtId="164" fontId="4" fillId="9" borderId="10" xfId="0" applyNumberFormat="1" applyFont="1" applyFill="1" applyBorder="1" applyAlignment="1" applyProtection="1">
      <alignment horizontal="center" vertical="center" wrapText="1"/>
      <protection locked="0"/>
    </xf>
    <xf numFmtId="164" fontId="4" fillId="4" borderId="10" xfId="0" applyNumberFormat="1" applyFont="1" applyFill="1" applyBorder="1">
      <alignment vertical="top"/>
    </xf>
    <xf numFmtId="164" fontId="4" fillId="3" borderId="5" xfId="0" applyNumberFormat="1" applyFont="1" applyFill="1" applyBorder="1" applyAlignment="1" applyProtection="1">
      <alignment horizontal="center" vertical="center" wrapText="1"/>
      <protection locked="0"/>
    </xf>
    <xf numFmtId="164" fontId="1" fillId="0" borderId="0" xfId="0" applyNumberFormat="1" applyFont="1" applyAlignment="1">
      <alignment horizontal="left" vertical="top" indent="1"/>
    </xf>
    <xf numFmtId="164" fontId="1" fillId="0" borderId="5" xfId="0" applyNumberFormat="1" applyFont="1" applyBorder="1" applyAlignment="1">
      <alignment horizontal="left" vertical="top" indent="1"/>
    </xf>
    <xf numFmtId="165" fontId="1" fillId="0" borderId="19" xfId="0" applyNumberFormat="1" applyFont="1" applyBorder="1" applyAlignment="1">
      <alignment horizontal="left" vertical="top" indent="1"/>
    </xf>
    <xf numFmtId="10" fontId="1" fillId="0" borderId="19" xfId="0" applyNumberFormat="1" applyFont="1" applyBorder="1" applyAlignment="1">
      <alignment horizontal="left" vertical="top" indent="1"/>
    </xf>
    <xf numFmtId="10" fontId="1" fillId="0" borderId="19" xfId="0" applyNumberFormat="1" applyFont="1" applyBorder="1" applyAlignment="1" applyProtection="1">
      <alignment horizontal="left" vertical="top" indent="1"/>
      <protection locked="0"/>
    </xf>
    <xf numFmtId="2" fontId="1" fillId="0" borderId="5" xfId="0" applyNumberFormat="1" applyFont="1" applyBorder="1" applyAlignment="1">
      <alignment horizontal="left" vertical="top" indent="1"/>
    </xf>
    <xf numFmtId="49" fontId="1" fillId="0" borderId="5" xfId="0" applyNumberFormat="1" applyFont="1" applyBorder="1" applyAlignment="1" applyProtection="1">
      <alignment horizontal="left" vertical="top" indent="1"/>
      <protection locked="0"/>
    </xf>
    <xf numFmtId="49" fontId="2" fillId="0" borderId="5" xfId="0" applyNumberFormat="1" applyFont="1" applyBorder="1" applyAlignment="1">
      <alignment horizontal="left" vertical="top" indent="1"/>
    </xf>
    <xf numFmtId="165" fontId="2" fillId="0" borderId="19" xfId="0" applyNumberFormat="1" applyFont="1" applyBorder="1" applyAlignment="1">
      <alignment horizontal="left" vertical="top" indent="1"/>
    </xf>
    <xf numFmtId="165" fontId="3" fillId="0" borderId="19" xfId="0" applyNumberFormat="1" applyFont="1" applyBorder="1" applyAlignment="1">
      <alignment horizontal="left" vertical="top" indent="1"/>
    </xf>
    <xf numFmtId="10" fontId="2" fillId="0" borderId="19" xfId="0" applyNumberFormat="1" applyFont="1" applyBorder="1" applyAlignment="1">
      <alignment horizontal="left" vertical="top" indent="1"/>
    </xf>
    <xf numFmtId="10" fontId="2" fillId="0" borderId="19" xfId="0" applyNumberFormat="1" applyFont="1" applyBorder="1" applyAlignment="1" applyProtection="1">
      <alignment horizontal="left" vertical="top" indent="1"/>
      <protection locked="0"/>
    </xf>
    <xf numFmtId="2" fontId="2" fillId="0" borderId="5" xfId="0" applyNumberFormat="1" applyFont="1" applyBorder="1" applyAlignment="1">
      <alignment horizontal="left" vertical="top" indent="1"/>
    </xf>
    <xf numFmtId="164" fontId="2" fillId="0" borderId="5" xfId="0" applyNumberFormat="1" applyFont="1" applyBorder="1" applyAlignment="1" applyProtection="1">
      <alignment horizontal="left" vertical="top" indent="1"/>
      <protection locked="0"/>
    </xf>
    <xf numFmtId="0" fontId="4" fillId="4" borderId="0" xfId="0" applyFont="1" applyFill="1">
      <alignment vertical="top"/>
    </xf>
    <xf numFmtId="167" fontId="1" fillId="0" borderId="0" xfId="0" applyNumberFormat="1" applyFont="1">
      <alignment vertical="top"/>
    </xf>
    <xf numFmtId="164" fontId="2" fillId="0" borderId="4" xfId="0" applyNumberFormat="1" applyFont="1" applyBorder="1" applyAlignment="1">
      <alignment horizontal="center" vertical="top"/>
    </xf>
    <xf numFmtId="164" fontId="2" fillId="0" borderId="5" xfId="0" applyNumberFormat="1" applyFont="1" applyBorder="1">
      <alignment vertical="top"/>
    </xf>
    <xf numFmtId="164" fontId="2" fillId="0" borderId="1" xfId="0" applyNumberFormat="1" applyFont="1" applyBorder="1" applyAlignment="1">
      <alignment horizontal="center" vertical="top"/>
    </xf>
    <xf numFmtId="164" fontId="2" fillId="0" borderId="2" xfId="0" applyNumberFormat="1" applyFont="1" applyBorder="1">
      <alignment vertical="top"/>
    </xf>
    <xf numFmtId="164" fontId="2" fillId="0" borderId="3" xfId="0" applyNumberFormat="1" applyFont="1" applyBorder="1">
      <alignment vertical="top"/>
    </xf>
    <xf numFmtId="164" fontId="2" fillId="0" borderId="6" xfId="0" applyNumberFormat="1" applyFont="1" applyBorder="1" applyAlignment="1">
      <alignment horizontal="center" vertical="top"/>
    </xf>
    <xf numFmtId="164" fontId="2" fillId="0" borderId="7" xfId="0" applyNumberFormat="1" applyFont="1" applyBorder="1">
      <alignment vertical="top"/>
    </xf>
    <xf numFmtId="164" fontId="2" fillId="0" borderId="6" xfId="0" applyNumberFormat="1" applyFont="1" applyBorder="1">
      <alignment vertical="top"/>
    </xf>
    <xf numFmtId="164" fontId="2" fillId="0" borderId="5" xfId="0" applyNumberFormat="1" applyFont="1" applyBorder="1" applyAlignment="1">
      <alignment horizontal="center" vertical="top"/>
    </xf>
    <xf numFmtId="164" fontId="5" fillId="0" borderId="15" xfId="0" applyNumberFormat="1" applyFont="1" applyBorder="1" applyAlignment="1">
      <alignment horizontal="center" vertical="top"/>
    </xf>
    <xf numFmtId="164" fontId="5" fillId="0" borderId="15" xfId="0" applyNumberFormat="1" applyFont="1" applyBorder="1">
      <alignment vertical="top"/>
    </xf>
    <xf numFmtId="164" fontId="1" fillId="0" borderId="17" xfId="0" applyNumberFormat="1" applyFont="1" applyBorder="1" applyAlignment="1">
      <alignment horizontal="center" vertical="top"/>
    </xf>
    <xf numFmtId="164" fontId="1" fillId="0" borderId="17" xfId="0" applyNumberFormat="1" applyFont="1" applyBorder="1">
      <alignment vertical="top"/>
    </xf>
    <xf numFmtId="164" fontId="1" fillId="0" borderId="16" xfId="0" applyNumberFormat="1" applyFont="1" applyBorder="1" applyAlignment="1">
      <alignment horizontal="center" vertical="top"/>
    </xf>
    <xf numFmtId="164" fontId="1" fillId="0" borderId="16" xfId="0" applyNumberFormat="1" applyFont="1" applyBorder="1">
      <alignment vertical="top"/>
    </xf>
    <xf numFmtId="164" fontId="2" fillId="3" borderId="5" xfId="0" applyNumberFormat="1" applyFont="1" applyFill="1" applyBorder="1" applyAlignment="1">
      <alignment horizontal="center" vertical="center" wrapText="1"/>
    </xf>
    <xf numFmtId="164" fontId="1" fillId="0" borderId="5" xfId="0" applyNumberFormat="1" applyFont="1" applyBorder="1">
      <alignment vertical="top"/>
    </xf>
    <xf numFmtId="164" fontId="2" fillId="3" borderId="18" xfId="0" applyNumberFormat="1" applyFont="1" applyFill="1" applyBorder="1" applyAlignment="1">
      <alignment horizontal="center" vertical="center" wrapText="1"/>
    </xf>
    <xf numFmtId="164" fontId="1" fillId="0" borderId="2" xfId="0" applyNumberFormat="1" applyFont="1" applyBorder="1">
      <alignment vertical="top"/>
    </xf>
    <xf numFmtId="164" fontId="1" fillId="0" borderId="3" xfId="0" applyNumberFormat="1" applyFont="1" applyBorder="1">
      <alignment vertical="top"/>
    </xf>
    <xf numFmtId="0" fontId="10" fillId="0" borderId="0" xfId="0" applyFont="1">
      <alignment vertical="top"/>
    </xf>
    <xf numFmtId="0" fontId="13" fillId="0" borderId="0" xfId="0" applyFont="1">
      <alignment vertical="top"/>
    </xf>
    <xf numFmtId="0" fontId="11" fillId="0" borderId="0" xfId="0" applyFont="1">
      <alignment vertical="top"/>
    </xf>
    <xf numFmtId="0" fontId="12" fillId="0" borderId="0" xfId="0" applyFont="1">
      <alignment vertical="top"/>
    </xf>
  </cellXfs>
  <cellStyles count="1">
    <cellStyle name="Normal" xfId="0" builtinId="0"/>
  </cellStyles>
  <dxfs count="1">
    <dxf>
      <font>
        <color auto="1"/>
      </font>
      <fill>
        <patternFill patternType="solid">
          <fgColor theme="5" tint="0.59999389629810485"/>
          <bgColor theme="5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28A6D-993B-B549-B5EA-D7EC9E818DB8}">
  <dimension ref="A1:A181"/>
  <sheetViews>
    <sheetView tabSelected="1" topLeftCell="A67" workbookViewId="0">
      <selection activeCell="G92" sqref="G92"/>
    </sheetView>
  </sheetViews>
  <sheetFormatPr baseColWidth="10" defaultRowHeight="15" x14ac:dyDescent="0.2"/>
  <sheetData>
    <row r="1" spans="1:1" ht="16" x14ac:dyDescent="0.2">
      <c r="A1" s="112" t="s">
        <v>141</v>
      </c>
    </row>
    <row r="2" spans="1:1" ht="16" x14ac:dyDescent="0.2">
      <c r="A2" s="112" t="s">
        <v>142</v>
      </c>
    </row>
    <row r="3" spans="1:1" ht="16" x14ac:dyDescent="0.2">
      <c r="A3" s="112" t="s">
        <v>143</v>
      </c>
    </row>
    <row r="4" spans="1:1" ht="16" x14ac:dyDescent="0.2">
      <c r="A4" s="112" t="s">
        <v>144</v>
      </c>
    </row>
    <row r="5" spans="1:1" ht="16" x14ac:dyDescent="0.2">
      <c r="A5" s="112" t="s">
        <v>145</v>
      </c>
    </row>
    <row r="6" spans="1:1" ht="16" x14ac:dyDescent="0.2">
      <c r="A6" s="112" t="s">
        <v>146</v>
      </c>
    </row>
    <row r="7" spans="1:1" ht="16" x14ac:dyDescent="0.2">
      <c r="A7" s="113" t="s">
        <v>147</v>
      </c>
    </row>
    <row r="8" spans="1:1" ht="16" x14ac:dyDescent="0.2">
      <c r="A8" s="114" t="s">
        <v>148</v>
      </c>
    </row>
    <row r="9" spans="1:1" ht="16" x14ac:dyDescent="0.2">
      <c r="A9" s="112" t="s">
        <v>149</v>
      </c>
    </row>
    <row r="10" spans="1:1" ht="16" x14ac:dyDescent="0.2">
      <c r="A10" s="114" t="s">
        <v>150</v>
      </c>
    </row>
    <row r="11" spans="1:1" ht="16" x14ac:dyDescent="0.2">
      <c r="A11" s="112" t="s">
        <v>151</v>
      </c>
    </row>
    <row r="12" spans="1:1" ht="16" x14ac:dyDescent="0.2">
      <c r="A12" s="115" t="s">
        <v>152</v>
      </c>
    </row>
    <row r="13" spans="1:1" ht="16" x14ac:dyDescent="0.2">
      <c r="A13" s="114" t="s">
        <v>153</v>
      </c>
    </row>
    <row r="14" spans="1:1" ht="16" x14ac:dyDescent="0.2">
      <c r="A14" s="115" t="s">
        <v>154</v>
      </c>
    </row>
    <row r="15" spans="1:1" ht="16" x14ac:dyDescent="0.2">
      <c r="A15" s="112" t="s">
        <v>155</v>
      </c>
    </row>
    <row r="16" spans="1:1" ht="16" x14ac:dyDescent="0.2">
      <c r="A16" s="114" t="s">
        <v>156</v>
      </c>
    </row>
    <row r="17" spans="1:1" ht="16" x14ac:dyDescent="0.2">
      <c r="A17" s="114" t="s">
        <v>157</v>
      </c>
    </row>
    <row r="18" spans="1:1" ht="16" x14ac:dyDescent="0.2">
      <c r="A18" s="115" t="s">
        <v>158</v>
      </c>
    </row>
    <row r="19" spans="1:1" ht="16" x14ac:dyDescent="0.2">
      <c r="A19" s="114" t="s">
        <v>159</v>
      </c>
    </row>
    <row r="20" spans="1:1" ht="16" x14ac:dyDescent="0.2">
      <c r="A20" s="112" t="s">
        <v>142</v>
      </c>
    </row>
    <row r="21" spans="1:1" ht="16" x14ac:dyDescent="0.2">
      <c r="A21" s="112" t="s">
        <v>160</v>
      </c>
    </row>
    <row r="22" spans="1:1" ht="16" x14ac:dyDescent="0.2">
      <c r="A22" s="112" t="s">
        <v>161</v>
      </c>
    </row>
    <row r="23" spans="1:1" ht="16" x14ac:dyDescent="0.2">
      <c r="A23" s="112" t="s">
        <v>162</v>
      </c>
    </row>
    <row r="24" spans="1:1" ht="16" x14ac:dyDescent="0.2">
      <c r="A24" s="112" t="s">
        <v>163</v>
      </c>
    </row>
    <row r="25" spans="1:1" ht="16" x14ac:dyDescent="0.2">
      <c r="A25" s="115" t="s">
        <v>164</v>
      </c>
    </row>
    <row r="26" spans="1:1" ht="16" x14ac:dyDescent="0.2">
      <c r="A26" s="112" t="s">
        <v>160</v>
      </c>
    </row>
    <row r="27" spans="1:1" ht="16" x14ac:dyDescent="0.2">
      <c r="A27" s="112" t="s">
        <v>161</v>
      </c>
    </row>
    <row r="28" spans="1:1" ht="16" x14ac:dyDescent="0.2">
      <c r="A28" s="112" t="s">
        <v>165</v>
      </c>
    </row>
    <row r="29" spans="1:1" ht="16" x14ac:dyDescent="0.2">
      <c r="A29" s="112" t="s">
        <v>163</v>
      </c>
    </row>
    <row r="30" spans="1:1" ht="16" x14ac:dyDescent="0.2">
      <c r="A30" s="115" t="s">
        <v>166</v>
      </c>
    </row>
    <row r="31" spans="1:1" ht="16" x14ac:dyDescent="0.2">
      <c r="A31" s="112" t="s">
        <v>160</v>
      </c>
    </row>
    <row r="32" spans="1:1" ht="16" x14ac:dyDescent="0.2">
      <c r="A32" s="112" t="s">
        <v>161</v>
      </c>
    </row>
    <row r="33" spans="1:1" ht="16" x14ac:dyDescent="0.2">
      <c r="A33" s="112" t="s">
        <v>167</v>
      </c>
    </row>
    <row r="34" spans="1:1" ht="16" x14ac:dyDescent="0.2">
      <c r="A34" s="112" t="s">
        <v>163</v>
      </c>
    </row>
    <row r="35" spans="1:1" ht="16" x14ac:dyDescent="0.2">
      <c r="A35" s="115" t="s">
        <v>168</v>
      </c>
    </row>
    <row r="36" spans="1:1" ht="16" x14ac:dyDescent="0.2">
      <c r="A36" s="112" t="s">
        <v>160</v>
      </c>
    </row>
    <row r="37" spans="1:1" ht="16" x14ac:dyDescent="0.2">
      <c r="A37" s="112" t="s">
        <v>161</v>
      </c>
    </row>
    <row r="38" spans="1:1" ht="16" x14ac:dyDescent="0.2">
      <c r="A38" s="112" t="s">
        <v>167</v>
      </c>
    </row>
    <row r="39" spans="1:1" ht="16" x14ac:dyDescent="0.2">
      <c r="A39" s="112" t="s">
        <v>163</v>
      </c>
    </row>
    <row r="40" spans="1:1" ht="16" x14ac:dyDescent="0.2">
      <c r="A40" s="115" t="s">
        <v>169</v>
      </c>
    </row>
    <row r="41" spans="1:1" ht="16" x14ac:dyDescent="0.2">
      <c r="A41" s="113" t="s">
        <v>147</v>
      </c>
    </row>
    <row r="42" spans="1:1" ht="16" x14ac:dyDescent="0.2">
      <c r="A42" s="114" t="s">
        <v>170</v>
      </c>
    </row>
    <row r="43" spans="1:1" ht="16" x14ac:dyDescent="0.2">
      <c r="A43" s="112" t="s">
        <v>149</v>
      </c>
    </row>
    <row r="44" spans="1:1" ht="16" x14ac:dyDescent="0.2">
      <c r="A44" s="114" t="s">
        <v>171</v>
      </c>
    </row>
    <row r="45" spans="1:1" ht="16" x14ac:dyDescent="0.2">
      <c r="A45" s="112" t="s">
        <v>155</v>
      </c>
    </row>
    <row r="46" spans="1:1" ht="16" x14ac:dyDescent="0.2">
      <c r="A46" s="114" t="s">
        <v>156</v>
      </c>
    </row>
    <row r="47" spans="1:1" ht="16" x14ac:dyDescent="0.2">
      <c r="A47" s="114" t="s">
        <v>157</v>
      </c>
    </row>
    <row r="48" spans="1:1" ht="16" x14ac:dyDescent="0.2">
      <c r="A48" s="115" t="s">
        <v>158</v>
      </c>
    </row>
    <row r="49" spans="1:1" ht="16" x14ac:dyDescent="0.2">
      <c r="A49" s="114" t="s">
        <v>172</v>
      </c>
    </row>
    <row r="50" spans="1:1" ht="16" x14ac:dyDescent="0.2">
      <c r="A50" s="112" t="s">
        <v>142</v>
      </c>
    </row>
    <row r="51" spans="1:1" ht="16" x14ac:dyDescent="0.2">
      <c r="A51" s="112" t="s">
        <v>160</v>
      </c>
    </row>
    <row r="52" spans="1:1" ht="16" x14ac:dyDescent="0.2">
      <c r="A52" s="112" t="s">
        <v>161</v>
      </c>
    </row>
    <row r="53" spans="1:1" ht="16" x14ac:dyDescent="0.2">
      <c r="A53" s="112" t="s">
        <v>173</v>
      </c>
    </row>
    <row r="54" spans="1:1" ht="16" x14ac:dyDescent="0.2">
      <c r="A54" s="112" t="s">
        <v>163</v>
      </c>
    </row>
    <row r="55" spans="1:1" ht="16" x14ac:dyDescent="0.2">
      <c r="A55" s="115" t="s">
        <v>174</v>
      </c>
    </row>
    <row r="56" spans="1:1" ht="16" x14ac:dyDescent="0.2">
      <c r="A56" s="113" t="s">
        <v>147</v>
      </c>
    </row>
    <row r="57" spans="1:1" ht="16" x14ac:dyDescent="0.2">
      <c r="A57" s="114" t="s">
        <v>175</v>
      </c>
    </row>
    <row r="58" spans="1:1" ht="16" x14ac:dyDescent="0.2">
      <c r="A58" s="112" t="s">
        <v>149</v>
      </c>
    </row>
    <row r="59" spans="1:1" ht="16" x14ac:dyDescent="0.2">
      <c r="A59" s="114" t="s">
        <v>176</v>
      </c>
    </row>
    <row r="60" spans="1:1" ht="16" x14ac:dyDescent="0.2">
      <c r="A60" s="112" t="s">
        <v>151</v>
      </c>
    </row>
    <row r="61" spans="1:1" ht="16" x14ac:dyDescent="0.2">
      <c r="A61" s="115" t="s">
        <v>177</v>
      </c>
    </row>
    <row r="62" spans="1:1" ht="16" x14ac:dyDescent="0.2">
      <c r="A62" s="112" t="s">
        <v>155</v>
      </c>
    </row>
    <row r="63" spans="1:1" ht="16" x14ac:dyDescent="0.2">
      <c r="A63" s="114" t="s">
        <v>156</v>
      </c>
    </row>
    <row r="64" spans="1:1" ht="16" x14ac:dyDescent="0.2">
      <c r="A64" s="114" t="s">
        <v>157</v>
      </c>
    </row>
    <row r="65" spans="1:1" ht="16" x14ac:dyDescent="0.2">
      <c r="A65" s="115" t="s">
        <v>158</v>
      </c>
    </row>
    <row r="66" spans="1:1" ht="16" x14ac:dyDescent="0.2">
      <c r="A66" s="114" t="s">
        <v>178</v>
      </c>
    </row>
    <row r="67" spans="1:1" ht="16" x14ac:dyDescent="0.2">
      <c r="A67" s="112" t="s">
        <v>142</v>
      </c>
    </row>
    <row r="68" spans="1:1" ht="16" x14ac:dyDescent="0.2">
      <c r="A68" s="112" t="s">
        <v>179</v>
      </c>
    </row>
    <row r="69" spans="1:1" ht="16" x14ac:dyDescent="0.2">
      <c r="A69" s="112" t="s">
        <v>180</v>
      </c>
    </row>
    <row r="70" spans="1:1" ht="16" x14ac:dyDescent="0.2">
      <c r="A70" s="112" t="s">
        <v>181</v>
      </c>
    </row>
    <row r="71" spans="1:1" ht="16" x14ac:dyDescent="0.2">
      <c r="A71" s="113" t="s">
        <v>147</v>
      </c>
    </row>
    <row r="72" spans="1:1" ht="16" x14ac:dyDescent="0.2">
      <c r="A72" s="114" t="s">
        <v>182</v>
      </c>
    </row>
    <row r="73" spans="1:1" ht="16" x14ac:dyDescent="0.2">
      <c r="A73" s="112" t="s">
        <v>149</v>
      </c>
    </row>
    <row r="74" spans="1:1" ht="16" x14ac:dyDescent="0.2">
      <c r="A74" s="114" t="s">
        <v>183</v>
      </c>
    </row>
    <row r="75" spans="1:1" ht="16" x14ac:dyDescent="0.2">
      <c r="A75" s="112" t="s">
        <v>155</v>
      </c>
    </row>
    <row r="76" spans="1:1" ht="16" x14ac:dyDescent="0.2">
      <c r="A76" s="114" t="s">
        <v>156</v>
      </c>
    </row>
    <row r="77" spans="1:1" ht="16" x14ac:dyDescent="0.2">
      <c r="A77" s="114" t="s">
        <v>157</v>
      </c>
    </row>
    <row r="78" spans="1:1" ht="16" x14ac:dyDescent="0.2">
      <c r="A78" s="115" t="s">
        <v>158</v>
      </c>
    </row>
    <row r="79" spans="1:1" ht="16" x14ac:dyDescent="0.2">
      <c r="A79" s="114" t="s">
        <v>184</v>
      </c>
    </row>
    <row r="80" spans="1:1" ht="16" x14ac:dyDescent="0.2">
      <c r="A80" s="112" t="s">
        <v>142</v>
      </c>
    </row>
    <row r="81" spans="1:1" ht="16" x14ac:dyDescent="0.2">
      <c r="A81" s="112" t="s">
        <v>185</v>
      </c>
    </row>
    <row r="82" spans="1:1" ht="16" x14ac:dyDescent="0.2">
      <c r="A82" s="112" t="s">
        <v>186</v>
      </c>
    </row>
    <row r="83" spans="1:1" ht="16" x14ac:dyDescent="0.2">
      <c r="A83" s="113" t="s">
        <v>147</v>
      </c>
    </row>
    <row r="84" spans="1:1" ht="16" x14ac:dyDescent="0.2">
      <c r="A84" s="114" t="s">
        <v>187</v>
      </c>
    </row>
    <row r="85" spans="1:1" ht="16" x14ac:dyDescent="0.2">
      <c r="A85" s="112" t="s">
        <v>149</v>
      </c>
    </row>
    <row r="86" spans="1:1" ht="16" x14ac:dyDescent="0.2">
      <c r="A86" s="114" t="s">
        <v>188</v>
      </c>
    </row>
    <row r="87" spans="1:1" ht="16" x14ac:dyDescent="0.2">
      <c r="A87" s="112" t="s">
        <v>151</v>
      </c>
    </row>
    <row r="88" spans="1:1" ht="16" x14ac:dyDescent="0.2">
      <c r="A88" s="115" t="s">
        <v>189</v>
      </c>
    </row>
    <row r="89" spans="1:1" ht="16" x14ac:dyDescent="0.2">
      <c r="A89" s="112" t="s">
        <v>155</v>
      </c>
    </row>
    <row r="90" spans="1:1" ht="16" x14ac:dyDescent="0.2">
      <c r="A90" s="114" t="s">
        <v>156</v>
      </c>
    </row>
    <row r="91" spans="1:1" ht="16" x14ac:dyDescent="0.2">
      <c r="A91" s="114" t="s">
        <v>157</v>
      </c>
    </row>
    <row r="92" spans="1:1" ht="16" x14ac:dyDescent="0.2">
      <c r="A92" s="115" t="s">
        <v>158</v>
      </c>
    </row>
    <row r="93" spans="1:1" ht="16" x14ac:dyDescent="0.2">
      <c r="A93" s="114" t="s">
        <v>190</v>
      </c>
    </row>
    <row r="94" spans="1:1" ht="16" x14ac:dyDescent="0.2">
      <c r="A94" s="112" t="s">
        <v>142</v>
      </c>
    </row>
    <row r="95" spans="1:1" ht="16" x14ac:dyDescent="0.2">
      <c r="A95" s="112" t="s">
        <v>191</v>
      </c>
    </row>
    <row r="96" spans="1:1" ht="16" x14ac:dyDescent="0.2">
      <c r="A96" s="113" t="s">
        <v>147</v>
      </c>
    </row>
    <row r="97" spans="1:1" ht="16" x14ac:dyDescent="0.2">
      <c r="A97" s="114" t="s">
        <v>192</v>
      </c>
    </row>
    <row r="98" spans="1:1" ht="16" x14ac:dyDescent="0.2">
      <c r="A98" s="112" t="s">
        <v>149</v>
      </c>
    </row>
    <row r="99" spans="1:1" ht="16" x14ac:dyDescent="0.2">
      <c r="A99" s="114" t="s">
        <v>193</v>
      </c>
    </row>
    <row r="100" spans="1:1" ht="16" x14ac:dyDescent="0.2">
      <c r="A100" s="112" t="s">
        <v>151</v>
      </c>
    </row>
    <row r="101" spans="1:1" ht="16" x14ac:dyDescent="0.2">
      <c r="A101" s="115" t="s">
        <v>194</v>
      </c>
    </row>
    <row r="102" spans="1:1" ht="16" x14ac:dyDescent="0.2">
      <c r="A102" s="112" t="s">
        <v>155</v>
      </c>
    </row>
    <row r="103" spans="1:1" ht="16" x14ac:dyDescent="0.2">
      <c r="A103" s="114" t="s">
        <v>156</v>
      </c>
    </row>
    <row r="104" spans="1:1" ht="16" x14ac:dyDescent="0.2">
      <c r="A104" s="114" t="s">
        <v>157</v>
      </c>
    </row>
    <row r="105" spans="1:1" ht="16" x14ac:dyDescent="0.2">
      <c r="A105" s="115" t="s">
        <v>158</v>
      </c>
    </row>
    <row r="106" spans="1:1" ht="16" x14ac:dyDescent="0.2">
      <c r="A106" s="114" t="s">
        <v>195</v>
      </c>
    </row>
    <row r="107" spans="1:1" ht="16" x14ac:dyDescent="0.2">
      <c r="A107" s="112" t="s">
        <v>142</v>
      </c>
    </row>
    <row r="108" spans="1:1" ht="16" x14ac:dyDescent="0.2">
      <c r="A108" s="112" t="s">
        <v>196</v>
      </c>
    </row>
    <row r="109" spans="1:1" ht="16" x14ac:dyDescent="0.2">
      <c r="A109" s="112" t="s">
        <v>197</v>
      </c>
    </row>
    <row r="110" spans="1:1" ht="16" x14ac:dyDescent="0.2">
      <c r="A110" s="112" t="s">
        <v>198</v>
      </c>
    </row>
    <row r="111" spans="1:1" ht="16" x14ac:dyDescent="0.2">
      <c r="A111" s="112" t="s">
        <v>199</v>
      </c>
    </row>
    <row r="112" spans="1:1" ht="16" x14ac:dyDescent="0.2">
      <c r="A112" s="112" t="s">
        <v>200</v>
      </c>
    </row>
    <row r="113" spans="1:1" ht="16" x14ac:dyDescent="0.2">
      <c r="A113" s="113" t="s">
        <v>147</v>
      </c>
    </row>
    <row r="114" spans="1:1" ht="16" x14ac:dyDescent="0.2">
      <c r="A114" s="114" t="s">
        <v>201</v>
      </c>
    </row>
    <row r="115" spans="1:1" ht="16" x14ac:dyDescent="0.2">
      <c r="A115" s="112" t="s">
        <v>149</v>
      </c>
    </row>
    <row r="116" spans="1:1" ht="16" x14ac:dyDescent="0.2">
      <c r="A116" s="114" t="s">
        <v>202</v>
      </c>
    </row>
    <row r="117" spans="1:1" ht="16" x14ac:dyDescent="0.2">
      <c r="A117" s="112" t="s">
        <v>151</v>
      </c>
    </row>
    <row r="118" spans="1:1" ht="16" x14ac:dyDescent="0.2">
      <c r="A118" s="115" t="s">
        <v>203</v>
      </c>
    </row>
    <row r="119" spans="1:1" ht="16" x14ac:dyDescent="0.2">
      <c r="A119" s="112" t="s">
        <v>155</v>
      </c>
    </row>
    <row r="120" spans="1:1" ht="16" x14ac:dyDescent="0.2">
      <c r="A120" s="114" t="s">
        <v>156</v>
      </c>
    </row>
    <row r="121" spans="1:1" ht="16" x14ac:dyDescent="0.2">
      <c r="A121" s="114" t="s">
        <v>157</v>
      </c>
    </row>
    <row r="122" spans="1:1" ht="16" x14ac:dyDescent="0.2">
      <c r="A122" s="115" t="s">
        <v>158</v>
      </c>
    </row>
    <row r="123" spans="1:1" ht="16" x14ac:dyDescent="0.2">
      <c r="A123" s="114" t="s">
        <v>204</v>
      </c>
    </row>
    <row r="124" spans="1:1" ht="16" x14ac:dyDescent="0.2">
      <c r="A124" s="112" t="s">
        <v>142</v>
      </c>
    </row>
    <row r="125" spans="1:1" ht="16" x14ac:dyDescent="0.2">
      <c r="A125" s="112" t="s">
        <v>160</v>
      </c>
    </row>
    <row r="126" spans="1:1" ht="16" x14ac:dyDescent="0.2">
      <c r="A126" s="112" t="s">
        <v>161</v>
      </c>
    </row>
    <row r="127" spans="1:1" ht="16" x14ac:dyDescent="0.2">
      <c r="A127" s="112" t="s">
        <v>205</v>
      </c>
    </row>
    <row r="128" spans="1:1" ht="16" x14ac:dyDescent="0.2">
      <c r="A128" s="112" t="s">
        <v>163</v>
      </c>
    </row>
    <row r="129" spans="1:1" ht="16" x14ac:dyDescent="0.2">
      <c r="A129" s="115" t="s">
        <v>206</v>
      </c>
    </row>
    <row r="130" spans="1:1" ht="16" x14ac:dyDescent="0.2">
      <c r="A130" s="113" t="s">
        <v>147</v>
      </c>
    </row>
    <row r="131" spans="1:1" ht="16" x14ac:dyDescent="0.2">
      <c r="A131" s="114" t="s">
        <v>207</v>
      </c>
    </row>
    <row r="132" spans="1:1" ht="16" x14ac:dyDescent="0.2">
      <c r="A132" s="112" t="s">
        <v>149</v>
      </c>
    </row>
    <row r="133" spans="1:1" ht="16" x14ac:dyDescent="0.2">
      <c r="A133" s="112" t="s">
        <v>208</v>
      </c>
    </row>
    <row r="134" spans="1:1" ht="16" x14ac:dyDescent="0.2">
      <c r="A134" s="112" t="s">
        <v>155</v>
      </c>
    </row>
    <row r="135" spans="1:1" ht="16" x14ac:dyDescent="0.2">
      <c r="A135" s="114" t="s">
        <v>156</v>
      </c>
    </row>
    <row r="136" spans="1:1" ht="16" x14ac:dyDescent="0.2">
      <c r="A136" s="114" t="s">
        <v>157</v>
      </c>
    </row>
    <row r="137" spans="1:1" ht="16" x14ac:dyDescent="0.2">
      <c r="A137" s="115" t="s">
        <v>154</v>
      </c>
    </row>
    <row r="138" spans="1:1" ht="16" x14ac:dyDescent="0.2">
      <c r="A138" s="112" t="s">
        <v>142</v>
      </c>
    </row>
    <row r="139" spans="1:1" ht="16" x14ac:dyDescent="0.2">
      <c r="A139" s="112" t="s">
        <v>209</v>
      </c>
    </row>
    <row r="140" spans="1:1" ht="16" x14ac:dyDescent="0.2">
      <c r="A140" s="112" t="s">
        <v>210</v>
      </c>
    </row>
    <row r="141" spans="1:1" ht="16" x14ac:dyDescent="0.2">
      <c r="A141" s="112" t="s">
        <v>211</v>
      </c>
    </row>
    <row r="142" spans="1:1" ht="16" x14ac:dyDescent="0.2">
      <c r="A142" s="112" t="s">
        <v>212</v>
      </c>
    </row>
    <row r="143" spans="1:1" ht="16" x14ac:dyDescent="0.2">
      <c r="A143" s="112" t="s">
        <v>213</v>
      </c>
    </row>
    <row r="144" spans="1:1" ht="16" x14ac:dyDescent="0.2">
      <c r="A144" s="112" t="s">
        <v>214</v>
      </c>
    </row>
    <row r="145" spans="1:1" ht="16" x14ac:dyDescent="0.2">
      <c r="A145" s="112" t="s">
        <v>215</v>
      </c>
    </row>
    <row r="146" spans="1:1" ht="16" x14ac:dyDescent="0.2">
      <c r="A146" s="112" t="s">
        <v>216</v>
      </c>
    </row>
    <row r="147" spans="1:1" ht="16" x14ac:dyDescent="0.2">
      <c r="A147" s="112" t="s">
        <v>217</v>
      </c>
    </row>
    <row r="148" spans="1:1" ht="16" x14ac:dyDescent="0.2">
      <c r="A148" s="112" t="s">
        <v>218</v>
      </c>
    </row>
    <row r="149" spans="1:1" ht="16" x14ac:dyDescent="0.2">
      <c r="A149" s="112" t="s">
        <v>219</v>
      </c>
    </row>
    <row r="150" spans="1:1" ht="16" x14ac:dyDescent="0.2">
      <c r="A150" s="112" t="s">
        <v>220</v>
      </c>
    </row>
    <row r="151" spans="1:1" ht="16" x14ac:dyDescent="0.2">
      <c r="A151" s="112" t="s">
        <v>221</v>
      </c>
    </row>
    <row r="152" spans="1:1" ht="16" x14ac:dyDescent="0.2">
      <c r="A152" s="112" t="s">
        <v>222</v>
      </c>
    </row>
    <row r="153" spans="1:1" ht="16" x14ac:dyDescent="0.2">
      <c r="A153" s="112" t="s">
        <v>223</v>
      </c>
    </row>
    <row r="154" spans="1:1" ht="16" x14ac:dyDescent="0.2">
      <c r="A154" s="112" t="s">
        <v>224</v>
      </c>
    </row>
    <row r="155" spans="1:1" ht="16" x14ac:dyDescent="0.2">
      <c r="A155" s="112" t="s">
        <v>225</v>
      </c>
    </row>
    <row r="156" spans="1:1" ht="16" x14ac:dyDescent="0.2">
      <c r="A156" s="112" t="s">
        <v>226</v>
      </c>
    </row>
    <row r="157" spans="1:1" ht="16" x14ac:dyDescent="0.2">
      <c r="A157" s="112" t="s">
        <v>227</v>
      </c>
    </row>
    <row r="158" spans="1:1" ht="16" x14ac:dyDescent="0.2">
      <c r="A158" s="112" t="s">
        <v>228</v>
      </c>
    </row>
    <row r="159" spans="1:1" ht="16" x14ac:dyDescent="0.2">
      <c r="A159" s="112" t="s">
        <v>229</v>
      </c>
    </row>
    <row r="160" spans="1:1" ht="16" x14ac:dyDescent="0.2">
      <c r="A160" s="114" t="s">
        <v>230</v>
      </c>
    </row>
    <row r="161" spans="1:1" ht="16" x14ac:dyDescent="0.2">
      <c r="A161" s="114" t="s">
        <v>231</v>
      </c>
    </row>
    <row r="162" spans="1:1" ht="16" x14ac:dyDescent="0.2">
      <c r="A162" s="112" t="s">
        <v>232</v>
      </c>
    </row>
    <row r="163" spans="1:1" ht="16" x14ac:dyDescent="0.2">
      <c r="A163" s="112" t="s">
        <v>149</v>
      </c>
    </row>
    <row r="164" spans="1:1" ht="16" x14ac:dyDescent="0.2">
      <c r="A164" s="114" t="s">
        <v>233</v>
      </c>
    </row>
    <row r="165" spans="1:1" ht="16" x14ac:dyDescent="0.2">
      <c r="A165" s="112" t="s">
        <v>234</v>
      </c>
    </row>
    <row r="166" spans="1:1" ht="16" x14ac:dyDescent="0.2">
      <c r="A166" s="112" t="s">
        <v>235</v>
      </c>
    </row>
    <row r="167" spans="1:1" ht="16" x14ac:dyDescent="0.2">
      <c r="A167" s="112" t="s">
        <v>236</v>
      </c>
    </row>
    <row r="168" spans="1:1" ht="16" x14ac:dyDescent="0.2">
      <c r="A168" s="112" t="s">
        <v>237</v>
      </c>
    </row>
    <row r="169" spans="1:1" ht="16" x14ac:dyDescent="0.2">
      <c r="A169" s="112" t="s">
        <v>238</v>
      </c>
    </row>
    <row r="170" spans="1:1" ht="16" x14ac:dyDescent="0.2">
      <c r="A170" s="112" t="s">
        <v>239</v>
      </c>
    </row>
    <row r="171" spans="1:1" ht="16" x14ac:dyDescent="0.2">
      <c r="A171" s="112" t="s">
        <v>240</v>
      </c>
    </row>
    <row r="172" spans="1:1" ht="16" x14ac:dyDescent="0.2">
      <c r="A172" s="112" t="s">
        <v>241</v>
      </c>
    </row>
    <row r="173" spans="1:1" ht="16" x14ac:dyDescent="0.2">
      <c r="A173" s="112" t="s">
        <v>242</v>
      </c>
    </row>
    <row r="174" spans="1:1" ht="16" x14ac:dyDescent="0.2">
      <c r="A174" s="112" t="s">
        <v>243</v>
      </c>
    </row>
    <row r="175" spans="1:1" ht="16" x14ac:dyDescent="0.2">
      <c r="A175" s="112" t="s">
        <v>244</v>
      </c>
    </row>
    <row r="176" spans="1:1" ht="16" x14ac:dyDescent="0.2">
      <c r="A176" s="112" t="s">
        <v>245</v>
      </c>
    </row>
    <row r="177" spans="1:1" ht="16" x14ac:dyDescent="0.2">
      <c r="A177" s="112" t="s">
        <v>246</v>
      </c>
    </row>
    <row r="178" spans="1:1" ht="16" x14ac:dyDescent="0.2">
      <c r="A178" s="112" t="s">
        <v>247</v>
      </c>
    </row>
    <row r="179" spans="1:1" ht="16" x14ac:dyDescent="0.2">
      <c r="A179" s="112" t="s">
        <v>155</v>
      </c>
    </row>
    <row r="180" spans="1:1" ht="16" x14ac:dyDescent="0.2">
      <c r="A180" s="114" t="s">
        <v>156</v>
      </c>
    </row>
    <row r="181" spans="1:1" ht="16" x14ac:dyDescent="0.2">
      <c r="A181" s="114" t="s">
        <v>157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2ECC8-4B54-7F18-8A38-A4FF44D21D38}">
  <dimension ref="A1:BT54"/>
  <sheetViews>
    <sheetView showGridLines="0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A6" sqref="A6"/>
    </sheetView>
  </sheetViews>
  <sheetFormatPr baseColWidth="10" defaultColWidth="8.83203125" defaultRowHeight="15" customHeight="1" outlineLevelRow="1" outlineLevelCol="1" x14ac:dyDescent="0.2"/>
  <cols>
    <col min="1" max="1" width="4.1640625" style="1" customWidth="1"/>
    <col min="2" max="2" width="24" style="1" customWidth="1"/>
    <col min="3" max="3" width="22.83203125" style="1" customWidth="1"/>
    <col min="4" max="4" width="26" style="1" customWidth="1"/>
    <col min="5" max="17" width="17.1640625" style="1" customWidth="1"/>
    <col min="18" max="19" width="17.1640625" style="1" hidden="1" customWidth="1" outlineLevel="1"/>
    <col min="20" max="20" width="17.1640625" style="1" customWidth="1" collapsed="1"/>
    <col min="21" max="22" width="17.1640625" style="1" hidden="1" customWidth="1" outlineLevel="1"/>
    <col min="23" max="23" width="17.1640625" style="1" customWidth="1" collapsed="1"/>
    <col min="24" max="24" width="17.1640625" style="1" customWidth="1"/>
    <col min="25" max="25" width="17.1640625" style="1" hidden="1" customWidth="1" outlineLevel="1"/>
    <col min="26" max="26" width="17.1640625" style="1" customWidth="1" collapsed="1"/>
    <col min="27" max="40" width="17.1640625" style="1" customWidth="1"/>
    <col min="41" max="42" width="17.1640625" style="1" hidden="1" customWidth="1"/>
    <col min="43" max="43" width="12.1640625" style="1" hidden="1" customWidth="1"/>
    <col min="44" max="44" width="54" style="1" customWidth="1"/>
    <col min="45" max="45" width="12.1640625" style="1" hidden="1" customWidth="1"/>
    <col min="46" max="46" width="85.1640625" style="2" customWidth="1"/>
    <col min="47" max="48" width="12.1640625" style="2" customWidth="1"/>
    <col min="49" max="71" width="12.1640625" customWidth="1"/>
    <col min="72" max="72" width="12.1640625" style="1" customWidth="1"/>
  </cols>
  <sheetData>
    <row r="1" spans="1:72" ht="15" hidden="1" customHeight="1" x14ac:dyDescent="0.2"/>
    <row r="2" spans="1:72" ht="15" hidden="1" customHeight="1" x14ac:dyDescent="0.2"/>
    <row r="3" spans="1:72" ht="15" hidden="1" customHeight="1" x14ac:dyDescent="0.2"/>
    <row r="4" spans="1:72" ht="15" hidden="1" customHeight="1" x14ac:dyDescent="0.2"/>
    <row r="5" spans="1:72" ht="15" hidden="1" customHeight="1" x14ac:dyDescent="0.2"/>
    <row r="6" spans="1:72" ht="15" customHeight="1" x14ac:dyDescent="0.2">
      <c r="N6" s="3"/>
      <c r="O6" s="3"/>
      <c r="P6" s="3"/>
      <c r="AT6" s="4"/>
    </row>
    <row r="7" spans="1:72" s="5" customFormat="1" ht="15" customHeight="1" x14ac:dyDescent="0.2">
      <c r="A7" s="6"/>
      <c r="B7" s="6"/>
      <c r="C7" s="6"/>
      <c r="D7" s="6"/>
      <c r="E7" s="94" t="s">
        <v>0</v>
      </c>
      <c r="F7" s="95"/>
      <c r="G7" s="95"/>
      <c r="H7" s="9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Y7" s="92">
        <f>YEAR(Divisions!H4)</f>
        <v>2025</v>
      </c>
      <c r="Z7" s="93"/>
      <c r="AA7" s="93"/>
      <c r="AB7" s="93"/>
      <c r="AC7" s="93"/>
      <c r="AD7" s="93"/>
      <c r="AE7" s="100">
        <f>Y7+1</f>
        <v>2026</v>
      </c>
      <c r="AF7" s="93"/>
      <c r="AG7" s="93"/>
      <c r="AH7" s="93"/>
      <c r="AI7" s="93"/>
      <c r="AJ7" s="97">
        <f>AE7+1</f>
        <v>2027</v>
      </c>
      <c r="AK7" s="98"/>
      <c r="AL7" s="99"/>
      <c r="AM7" s="99"/>
      <c r="AN7" s="99"/>
      <c r="AO7" s="9"/>
      <c r="AP7" s="10"/>
      <c r="AQ7" s="6"/>
      <c r="AR7" s="6"/>
      <c r="AS7" s="6"/>
      <c r="BT7" s="6"/>
    </row>
    <row r="8" spans="1:72" s="11" customFormat="1" ht="27.75" customHeight="1" x14ac:dyDescent="0.2">
      <c r="A8" s="12"/>
      <c r="B8" s="13" t="str" cm="1">
        <f t="array" ref="B8">B11</f>
        <v>Project Manager</v>
      </c>
      <c r="C8" s="14" t="str" cm="1">
        <f t="array" ref="C8">C11</f>
        <v>Job Number</v>
      </c>
      <c r="D8" s="14" t="str" cm="1">
        <f t="array" ref="D8">D11</f>
        <v>Description</v>
      </c>
      <c r="E8" s="14" t="str" cm="1">
        <f t="array" ref="E8">E11</f>
        <v>Current Contract Amount</v>
      </c>
      <c r="F8" s="14" t="str" cm="1">
        <f t="array" ref="F8">F11</f>
        <v>Estimated Cost</v>
      </c>
      <c r="G8" s="14" t="str" cm="1">
        <f t="array" ref="G8">G11</f>
        <v>Gross Margin</v>
      </c>
      <c r="H8" s="14" t="str" cm="1">
        <f t="array" ref="H8">H11</f>
        <v>GM%</v>
      </c>
      <c r="I8" s="14" t="str" cm="1">
        <f t="array" ref="I8">I11</f>
        <v xml:space="preserve">JTD Earned Revenue </v>
      </c>
      <c r="J8" s="14" t="str" cm="1">
        <f t="array" ref="J8">J11</f>
        <v>Cost to Date</v>
      </c>
      <c r="K8" s="14" t="str" cm="1">
        <f t="array" ref="K8">K11</f>
        <v>Gross Margin to Date</v>
      </c>
      <c r="L8" s="14" t="str" cm="1">
        <f t="array" ref="L8">L11</f>
        <v xml:space="preserve">GM % </v>
      </c>
      <c r="M8" s="14" t="str" cm="1">
        <f t="array" ref="M8">M11</f>
        <v>Billed Amount</v>
      </c>
      <c r="N8" s="14" t="str" cm="1">
        <f t="array" ref="N8">N11</f>
        <v>Over Billing</v>
      </c>
      <c r="O8" s="14" t="str" cm="1">
        <f t="array" ref="O8">O11</f>
        <v>(Under) Billing</v>
      </c>
      <c r="P8" s="14" t="str" cm="1">
        <f t="array" ref="P8">P11</f>
        <v>Backlog</v>
      </c>
      <c r="Q8" s="14" t="str" cm="1">
        <f t="array" ref="Q8">Q11</f>
        <v>% Complete</v>
      </c>
      <c r="R8" s="14" t="str" cm="1">
        <f t="array" ref="R8">R11</f>
        <v>PM Estimated GM %</v>
      </c>
      <c r="S8" s="14" t="str" cm="1">
        <f t="array" ref="S8">S11</f>
        <v>Prior Period Revised PM Estimated GM %</v>
      </c>
      <c r="T8" s="14" t="str" cm="1">
        <f t="array" ref="T8">T11</f>
        <v>Revised PM Estimated GM %</v>
      </c>
      <c r="U8" s="14" t="str" cm="1">
        <f t="array" ref="U8">U11</f>
        <v>Potential Profit</v>
      </c>
      <c r="V8" s="14" t="str" cm="1">
        <f t="array" ref="V8">V11</f>
        <v>Prior Period Revised Potential Profit</v>
      </c>
      <c r="W8" s="14" t="str" cm="1">
        <f t="array" ref="W8">W11</f>
        <v xml:space="preserve">Revised Potential Profit </v>
      </c>
      <c r="X8" s="14" t="str" cm="1">
        <f t="array" ref="X8">X11</f>
        <v>% Complete @ YE</v>
      </c>
      <c r="Y8" s="14" t="str" cm="1">
        <f t="array" ref="Y8">Y11</f>
        <v>Prior Period Revised % Complete @ YE</v>
      </c>
      <c r="Z8" s="14" t="s">
        <v>25</v>
      </c>
      <c r="AA8" s="14" t="s">
        <v>26</v>
      </c>
      <c r="AB8" s="14" t="s">
        <v>5</v>
      </c>
      <c r="AC8" s="14" t="s">
        <v>6</v>
      </c>
      <c r="AD8" s="14" t="s">
        <v>27</v>
      </c>
      <c r="AE8" s="14" t="s">
        <v>25</v>
      </c>
      <c r="AF8" s="14" t="s">
        <v>26</v>
      </c>
      <c r="AG8" s="14" t="s">
        <v>5</v>
      </c>
      <c r="AH8" s="14" t="s">
        <v>6</v>
      </c>
      <c r="AI8" s="14" t="s">
        <v>27</v>
      </c>
      <c r="AJ8" s="15" t="s">
        <v>25</v>
      </c>
      <c r="AK8" s="15" t="s">
        <v>26</v>
      </c>
      <c r="AL8" s="15" t="s">
        <v>5</v>
      </c>
      <c r="AM8" s="15" t="s">
        <v>6</v>
      </c>
      <c r="AN8" s="15" t="s">
        <v>27</v>
      </c>
      <c r="AO8" s="15" t="s">
        <v>6</v>
      </c>
      <c r="AP8" s="15" t="s">
        <v>27</v>
      </c>
      <c r="AQ8" s="14" t="str" cm="1">
        <f t="array" ref="AQ8">AP11</f>
        <v>pmestimatedgmpercentage__custom</v>
      </c>
      <c r="AR8" s="16" t="str" cm="1">
        <f t="array" ref="AR8">AR11</f>
        <v>Comments</v>
      </c>
      <c r="AS8" s="12"/>
      <c r="AT8" s="17"/>
      <c r="BT8" s="12"/>
    </row>
    <row r="9" spans="1:72" s="2" customFormat="1" ht="14.5" hidden="1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BT9" s="1"/>
    </row>
    <row r="10" spans="1:72" s="5" customFormat="1" ht="17.75" hidden="1" customHeight="1" x14ac:dyDescent="0.2">
      <c r="A10" s="6"/>
      <c r="B10" s="7"/>
      <c r="C10" s="7"/>
      <c r="D10" s="7"/>
      <c r="E10" s="8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8"/>
      <c r="Y10" s="7"/>
      <c r="Z10" s="7"/>
      <c r="AA10" s="7"/>
      <c r="AB10" s="8"/>
      <c r="AC10" s="7"/>
      <c r="AD10" s="7"/>
      <c r="AE10" s="7"/>
      <c r="AF10" s="7"/>
      <c r="AG10" s="8"/>
      <c r="AH10" s="7"/>
      <c r="AI10" s="7"/>
      <c r="AJ10" s="7"/>
      <c r="AK10" s="7"/>
      <c r="AL10" s="7"/>
      <c r="AM10" s="7"/>
      <c r="AN10" s="7"/>
      <c r="AO10" s="7"/>
      <c r="AP10" s="7"/>
      <c r="AQ10" s="6"/>
      <c r="AR10" s="6"/>
      <c r="AS10" s="6"/>
      <c r="AT10" s="6"/>
      <c r="BT10" s="6"/>
    </row>
    <row r="11" spans="1:72" s="18" customFormat="1" ht="40.5" hidden="1" customHeight="1" x14ac:dyDescent="0.2">
      <c r="A11" s="19"/>
      <c r="B11" s="20" t="s">
        <v>1</v>
      </c>
      <c r="C11" s="20" t="s">
        <v>2</v>
      </c>
      <c r="D11" s="20" t="s">
        <v>3</v>
      </c>
      <c r="E11" s="21" t="s">
        <v>4</v>
      </c>
      <c r="F11" s="21" t="s">
        <v>5</v>
      </c>
      <c r="G11" s="21" t="s">
        <v>6</v>
      </c>
      <c r="H11" s="21" t="s">
        <v>7</v>
      </c>
      <c r="I11" s="21" t="s">
        <v>8</v>
      </c>
      <c r="J11" s="21" t="s">
        <v>9</v>
      </c>
      <c r="K11" s="21" t="s">
        <v>10</v>
      </c>
      <c r="L11" s="21" t="s">
        <v>11</v>
      </c>
      <c r="M11" s="21" t="s">
        <v>12</v>
      </c>
      <c r="N11" s="21" t="s">
        <v>13</v>
      </c>
      <c r="O11" s="21" t="s">
        <v>14</v>
      </c>
      <c r="P11" s="21" t="s">
        <v>15</v>
      </c>
      <c r="Q11" s="21" t="s">
        <v>16</v>
      </c>
      <c r="R11" s="21" t="s">
        <v>17</v>
      </c>
      <c r="S11" s="21" t="s">
        <v>18</v>
      </c>
      <c r="T11" s="22" t="s">
        <v>19</v>
      </c>
      <c r="U11" s="21" t="s">
        <v>20</v>
      </c>
      <c r="V11" s="21" t="s">
        <v>21</v>
      </c>
      <c r="W11" s="21" t="s">
        <v>22</v>
      </c>
      <c r="X11" s="21" t="s">
        <v>23</v>
      </c>
      <c r="Y11" s="21" t="s">
        <v>24</v>
      </c>
      <c r="Z11" s="22" t="s">
        <v>30</v>
      </c>
      <c r="AA11" s="21" t="s">
        <v>31</v>
      </c>
      <c r="AB11" s="21" t="s">
        <v>32</v>
      </c>
      <c r="AC11" s="21" t="s">
        <v>33</v>
      </c>
      <c r="AD11" s="21" t="s">
        <v>34</v>
      </c>
      <c r="AE11" s="22" t="s">
        <v>35</v>
      </c>
      <c r="AF11" s="21" t="s">
        <v>36</v>
      </c>
      <c r="AG11" s="21" t="s">
        <v>37</v>
      </c>
      <c r="AH11" s="21" t="s">
        <v>38</v>
      </c>
      <c r="AI11" s="21" t="s">
        <v>39</v>
      </c>
      <c r="AJ11" s="22" t="s">
        <v>40</v>
      </c>
      <c r="AK11" s="21" t="s">
        <v>41</v>
      </c>
      <c r="AL11" s="21" t="s">
        <v>42</v>
      </c>
      <c r="AM11" s="21" t="s">
        <v>43</v>
      </c>
      <c r="AN11" s="21" t="s">
        <v>44</v>
      </c>
      <c r="AO11" s="23" t="s">
        <v>45</v>
      </c>
      <c r="AP11" s="23" t="s">
        <v>28</v>
      </c>
      <c r="AQ11" s="23" t="s">
        <v>46</v>
      </c>
      <c r="AR11" s="24" t="s">
        <v>29</v>
      </c>
      <c r="AS11" s="25" t="s">
        <v>47</v>
      </c>
      <c r="BT11" s="26" t="s">
        <v>29</v>
      </c>
    </row>
    <row r="12" spans="1:72" ht="15" customHeight="1" outlineLevel="1" x14ac:dyDescent="0.2">
      <c r="B12" s="27" t="s">
        <v>48</v>
      </c>
      <c r="C12" s="27" t="s">
        <v>49</v>
      </c>
      <c r="D12" s="27" t="s">
        <v>50</v>
      </c>
      <c r="E12" s="28">
        <v>20845819.02</v>
      </c>
      <c r="F12" s="28">
        <f>IFERROR('Project Managers'!E12*(1-'Project Managers'!H12),0)</f>
        <v>16885113.406199999</v>
      </c>
      <c r="G12" s="28">
        <f>IFERROR('Project Managers'!E12-'Project Managers'!F12,0)</f>
        <v>3960705.6138000004</v>
      </c>
      <c r="H12" s="29" cm="1">
        <f t="array" ref="H12">IF(ISBLANK('Project Managers'!AO12),'Project Managers'!R12,'Project Managers'!AO12)</f>
        <v>0.19</v>
      </c>
      <c r="I12" s="28">
        <v>20845819.02</v>
      </c>
      <c r="J12" s="28">
        <v>16381246.529999999</v>
      </c>
      <c r="K12" s="28">
        <f>IFERROR('Project Managers'!I12-'Project Managers'!J12,0)</f>
        <v>4464572.49</v>
      </c>
      <c r="L12" s="29">
        <f>IFERROR('Project Managers'!K12/'Project Managers'!I12,0)</f>
        <v>0.2141711239897352</v>
      </c>
      <c r="M12" s="28">
        <v>20845819.02</v>
      </c>
      <c r="N12" s="28">
        <f>IFERROR(IF('Project Managers'!M12-'Project Managers'!I12&gt;0,'Project Managers'!M12-'Project Managers'!I12,0),0)</f>
        <v>0</v>
      </c>
      <c r="O12" s="28">
        <f>IFERROR(IF('Project Managers'!M12-'Project Managers'!I12&lt;0,'Project Managers'!M12-'Project Managers'!I12,0),0)</f>
        <v>0</v>
      </c>
      <c r="P12" s="28">
        <f>IFERROR('Project Managers'!E12-'Project Managers'!I12,0)</f>
        <v>0</v>
      </c>
      <c r="Q12" s="29">
        <f>IFERROR(ROUND('Project Managers'!I12/'Project Managers'!E12,4),0)</f>
        <v>1</v>
      </c>
      <c r="R12" s="29" cm="1">
        <f t="array" ref="R12">IF(ISBLANK('Project Managers'!AP12),IF('Project Managers'!I12&lt;&gt;0,('Project Managers'!I12-'Project Managers'!J12)/'Project Managers'!I12,'Project Managers'!AS12),'Project Managers'!AP12)</f>
        <v>0.21</v>
      </c>
      <c r="S12" s="30">
        <v>0.21490000000000001</v>
      </c>
      <c r="T12" s="31">
        <v>0.2142</v>
      </c>
      <c r="U12" s="28">
        <f>IFERROR(-('Project Managers'!I12-('Project Managers'!J12/(1-'Project Managers'!R12))),0)</f>
        <v>-110063.91873417795</v>
      </c>
      <c r="V12" s="32">
        <v>-690.43765380000002</v>
      </c>
      <c r="W12" s="28">
        <f>IFERROR(-('Project Managers'!I12-('Project Managers'!J12/(1-'Project Managers'!T12))),0)</f>
        <v>766.02708576992154</v>
      </c>
      <c r="X12" s="29">
        <f>IFERROR(IF('Project Managers'!AQ12="",1,'Project Managers'!AQ12),0)</f>
        <v>1</v>
      </c>
      <c r="Y12" s="30">
        <v>1</v>
      </c>
      <c r="Z12" s="31">
        <v>1</v>
      </c>
      <c r="AA12" s="28">
        <f>IFERROR(IF('Project Managers'!Z12='Project Managers'!Q12,0,(('Project Managers'!Z12*'Project Managers'!E12)-'Project Managers'!I12)),0)</f>
        <v>0</v>
      </c>
      <c r="AB12" s="28">
        <f>IFERROR(IF('Project Managers'!Z12='Project Managers'!Q12,0,('Project Managers'!AA12-('Project Managers'!AA12*'Project Managers'!L12))),0)</f>
        <v>0</v>
      </c>
      <c r="AC12" s="28">
        <f>IFERROR('Project Managers'!AA12-'Project Managers'!AB12,0)</f>
        <v>0</v>
      </c>
      <c r="AD12" s="33">
        <f>IFERROR('Project Managers'!AC12/'Project Managers'!AA12,0)</f>
        <v>0</v>
      </c>
      <c r="AE12" s="34">
        <f>IFERROR(IF('Project Managers'!Z12&lt;1,1,0),0)</f>
        <v>0</v>
      </c>
      <c r="AF12" s="35">
        <f>IFERROR(IF('Project Managers'!AE12=0,0,('Project Managers'!AE12*'Project Managers'!E12)-'Project Managers'!I12-'Project Managers'!AA12),0)</f>
        <v>0</v>
      </c>
      <c r="AG12" s="35">
        <f>IFERROR(IF('Project Managers'!AE12='Project Managers'!V12,0,('Project Managers'!AF12-('Project Managers'!AF12*'Project Managers'!L12))),0)</f>
        <v>0</v>
      </c>
      <c r="AH12" s="36">
        <f>IFERROR('Project Managers'!AF12-'Project Managers'!AG12,0)</f>
        <v>0</v>
      </c>
      <c r="AI12" s="29">
        <f>IFERROR('Project Managers'!AH12/'Project Managers'!AF12,0)</f>
        <v>0</v>
      </c>
      <c r="AJ12" s="31"/>
      <c r="AK12" s="28">
        <f>IFERROR(IF('Project Managers'!AJ12=0,0,('Project Managers'!AJ12*'Project Managers'!E12)-'Project Managers'!I12-'Project Managers'!AA12-'Project Managers'!AF12),0)</f>
        <v>0</v>
      </c>
      <c r="AL12" s="28">
        <f>IFERROR(IF('Project Managers'!AJ12='Project Managers'!V12,0,('Project Managers'!AK12-('Project Managers'!AK12*'Project Managers'!L12))),0)</f>
        <v>0</v>
      </c>
      <c r="AM12" s="28">
        <f>IFERROR('Project Managers'!AK12-'Project Managers'!AL12,0)</f>
        <v>0</v>
      </c>
      <c r="AN12" s="29">
        <f>IFERROR('Project Managers'!AM12/'Project Managers'!AK12,0)</f>
        <v>0</v>
      </c>
      <c r="AO12" s="37">
        <v>0.19</v>
      </c>
      <c r="AP12" s="37">
        <v>0.21</v>
      </c>
      <c r="AQ12" s="37"/>
      <c r="AR12" s="38"/>
      <c r="AS12" s="39"/>
      <c r="BT12" s="40" t="s">
        <v>51</v>
      </c>
    </row>
    <row r="13" spans="1:72" s="2" customFormat="1" ht="15" customHeight="1" outlineLevel="1" x14ac:dyDescent="0.2">
      <c r="A13" s="1"/>
      <c r="B13" s="27" t="s">
        <v>48</v>
      </c>
      <c r="C13" s="27" t="s">
        <v>52</v>
      </c>
      <c r="D13" s="27" t="s">
        <v>53</v>
      </c>
      <c r="E13" s="28">
        <v>128026.07</v>
      </c>
      <c r="F13" s="28">
        <f>IFERROR('Project Managers'!E13*(1-'Project Managers'!H13),0)</f>
        <v>106193.43897673796</v>
      </c>
      <c r="G13" s="28">
        <f>IFERROR('Project Managers'!E13-'Project Managers'!F13,0)</f>
        <v>21832.631023262045</v>
      </c>
      <c r="H13" s="29" cm="1">
        <f t="array" ref="H13">IF(ISBLANK('Project Managers'!AO13),'Project Managers'!R13,'Project Managers'!AO13)</f>
        <v>0.17053269715505634</v>
      </c>
      <c r="I13" s="28">
        <v>124814.07</v>
      </c>
      <c r="J13" s="28">
        <v>103529.19</v>
      </c>
      <c r="K13" s="28">
        <f>IFERROR('Project Managers'!I13-'Project Managers'!J13,0)</f>
        <v>21284.880000000005</v>
      </c>
      <c r="L13" s="29">
        <f>IFERROR('Project Managers'!K13/'Project Managers'!I13,0)</f>
        <v>0.17053269715505634</v>
      </c>
      <c r="M13" s="28">
        <v>124814.07</v>
      </c>
      <c r="N13" s="28">
        <f>IFERROR(IF('Project Managers'!M13-'Project Managers'!I13&gt;0,'Project Managers'!M13-'Project Managers'!I13,0),0)</f>
        <v>0</v>
      </c>
      <c r="O13" s="28">
        <f>IFERROR(IF('Project Managers'!M13-'Project Managers'!I13&lt;0,'Project Managers'!M13-'Project Managers'!I13,0),0)</f>
        <v>0</v>
      </c>
      <c r="P13" s="28">
        <f>IFERROR('Project Managers'!E13-'Project Managers'!I13,0)</f>
        <v>3212</v>
      </c>
      <c r="Q13" s="29">
        <f>IFERROR(ROUND('Project Managers'!I13/'Project Managers'!E13,4),0)</f>
        <v>0.97489999999999999</v>
      </c>
      <c r="R13" s="29">
        <f>IF(ISBLANK('Project Managers'!AP13),IF('Project Managers'!I13&lt;&gt;0,('Project Managers'!I13-'Project Managers'!J13)/'Project Managers'!I13,'Project Managers'!AS13),'Project Managers'!AP13)</f>
        <v>0.17053269715505634</v>
      </c>
      <c r="S13" s="30">
        <v>0.15</v>
      </c>
      <c r="T13" s="31">
        <v>0.15</v>
      </c>
      <c r="U13" s="28">
        <f>IFERROR(-('Project Managers'!I13-('Project Managers'!J13/(1-'Project Managers'!R13))),0)</f>
        <v>0</v>
      </c>
      <c r="V13" s="32">
        <v>-3850.67</v>
      </c>
      <c r="W13" s="28">
        <f>IFERROR(-('Project Managers'!I13-('Project Managers'!J13/(1-'Project Managers'!T13))),0)</f>
        <v>-3015.022941176474</v>
      </c>
      <c r="X13" s="29">
        <f>IFERROR(IF('Project Managers'!AQ13="",1,'Project Managers'!AQ13),0)</f>
        <v>1</v>
      </c>
      <c r="Y13" s="30">
        <v>1</v>
      </c>
      <c r="Z13" s="31">
        <v>1</v>
      </c>
      <c r="AA13" s="28">
        <f>IFERROR(IF('Project Managers'!Z13='Project Managers'!Q13,0,(('Project Managers'!Z13*'Project Managers'!E13)-'Project Managers'!I13)),0)</f>
        <v>3212</v>
      </c>
      <c r="AB13" s="28">
        <f>IFERROR(IF('Project Managers'!Z13='Project Managers'!Q13,0,('Project Managers'!AA13-('Project Managers'!AA13*'Project Managers'!L13))),0)</f>
        <v>2664.2489767379593</v>
      </c>
      <c r="AC13" s="28">
        <f>IFERROR('Project Managers'!AA13-'Project Managers'!AB13,0)</f>
        <v>547.75102326204069</v>
      </c>
      <c r="AD13" s="33">
        <f>IFERROR('Project Managers'!AC13/'Project Managers'!AA13,0)</f>
        <v>0.17053269715505626</v>
      </c>
      <c r="AE13" s="34">
        <f>IFERROR(IF('Project Managers'!Z13&lt;1,1,0),0)</f>
        <v>0</v>
      </c>
      <c r="AF13" s="35">
        <f>IFERROR(IF('Project Managers'!AE13=0,0,('Project Managers'!AE13*'Project Managers'!E13)-'Project Managers'!I13-'Project Managers'!AA13),0)</f>
        <v>0</v>
      </c>
      <c r="AG13" s="35">
        <f>IFERROR(IF('Project Managers'!AE13='Project Managers'!V13,0,('Project Managers'!AF13-('Project Managers'!AF13*'Project Managers'!L13))),0)</f>
        <v>0</v>
      </c>
      <c r="AH13" s="36">
        <f>IFERROR('Project Managers'!AF13-'Project Managers'!AG13,0)</f>
        <v>0</v>
      </c>
      <c r="AI13" s="29">
        <f>IFERROR('Project Managers'!AH13/'Project Managers'!AF13,0)</f>
        <v>0</v>
      </c>
      <c r="AJ13" s="31"/>
      <c r="AK13" s="28">
        <f>IFERROR(IF('Project Managers'!AJ13=0,0,('Project Managers'!AJ13*'Project Managers'!E13)-'Project Managers'!I13-'Project Managers'!AA13-'Project Managers'!AF13),0)</f>
        <v>0</v>
      </c>
      <c r="AL13" s="28">
        <f>IFERROR(IF('Project Managers'!AJ13='Project Managers'!V13,0,('Project Managers'!AK13-('Project Managers'!AK13*'Project Managers'!L13))),0)</f>
        <v>0</v>
      </c>
      <c r="AM13" s="28">
        <f>IFERROR('Project Managers'!AK13-'Project Managers'!AL13,0)</f>
        <v>0</v>
      </c>
      <c r="AN13" s="29">
        <f>IFERROR('Project Managers'!AM13/'Project Managers'!AK13,0)</f>
        <v>0</v>
      </c>
      <c r="AO13" s="37"/>
      <c r="AP13" s="37"/>
      <c r="AQ13" s="37"/>
      <c r="AR13" s="38"/>
      <c r="AS13" s="39">
        <v>0.15</v>
      </c>
    </row>
    <row r="14" spans="1:72" s="2" customFormat="1" ht="15" customHeight="1" x14ac:dyDescent="0.2">
      <c r="A14" s="1"/>
      <c r="B14" s="41" t="s">
        <v>54</v>
      </c>
      <c r="C14" s="42" t="s">
        <v>55</v>
      </c>
      <c r="D14" s="41" t="s">
        <v>55</v>
      </c>
      <c r="E14" s="43">
        <f t="shared" ref="E14:AM21" si="0">SUBTOTAL(9,E12:E13)</f>
        <v>20973845.09</v>
      </c>
      <c r="F14" s="44">
        <f t="shared" si="0"/>
        <v>16991306.845176738</v>
      </c>
      <c r="G14" s="43">
        <f t="shared" si="0"/>
        <v>3982538.2448232626</v>
      </c>
      <c r="H14" s="45" t="str" cm="1">
        <f t="array" ref="H14">IF(ISBLANK('Project Managers'!AO14),'Project Managers'!R14,'Project Managers'!AO14)</f>
        <v>-</v>
      </c>
      <c r="I14" s="43">
        <f t="shared" si="0"/>
        <v>20970633.09</v>
      </c>
      <c r="J14" s="43">
        <f t="shared" si="0"/>
        <v>16484775.719999999</v>
      </c>
      <c r="K14" s="43">
        <f t="shared" si="0"/>
        <v>4485857.37</v>
      </c>
      <c r="L14" s="45">
        <f>IFERROR('Project Managers'!K14/'Project Managers'!I14,0)</f>
        <v>0.21391139460349026</v>
      </c>
      <c r="M14" s="43">
        <f t="shared" si="0"/>
        <v>20970633.09</v>
      </c>
      <c r="N14" s="43">
        <f t="shared" si="0"/>
        <v>0</v>
      </c>
      <c r="O14" s="43">
        <f t="shared" si="0"/>
        <v>0</v>
      </c>
      <c r="P14" s="43">
        <f t="shared" si="0"/>
        <v>3212</v>
      </c>
      <c r="Q14" s="45">
        <f>IFERROR(ROUND('Project Managers'!I14/'Project Managers'!E14,4),0)</f>
        <v>0.99980000000000002</v>
      </c>
      <c r="R14" s="45" t="s">
        <v>55</v>
      </c>
      <c r="S14" s="46" t="s">
        <v>55</v>
      </c>
      <c r="T14" s="47" t="s">
        <v>55</v>
      </c>
      <c r="U14" s="43">
        <f t="shared" si="0"/>
        <v>-110063.91873417795</v>
      </c>
      <c r="V14" s="48">
        <f t="shared" si="0"/>
        <v>-4541.1076537999998</v>
      </c>
      <c r="W14" s="43">
        <f t="shared" si="0"/>
        <v>-2248.9958554065524</v>
      </c>
      <c r="X14" s="45" t="s">
        <v>55</v>
      </c>
      <c r="Y14" s="46" t="s">
        <v>55</v>
      </c>
      <c r="Z14" s="47" t="s">
        <v>55</v>
      </c>
      <c r="AA14" s="43">
        <f t="shared" si="0"/>
        <v>3212</v>
      </c>
      <c r="AB14" s="43">
        <f t="shared" si="0"/>
        <v>2664.2489767379593</v>
      </c>
      <c r="AC14" s="43">
        <f>IFERROR('Project Managers'!AA14-'Project Managers'!AB14,0)</f>
        <v>547.75102326204069</v>
      </c>
      <c r="AD14" s="49">
        <f>IFERROR('Project Managers'!AC14/'Project Managers'!AA14,0)</f>
        <v>0.17053269715505626</v>
      </c>
      <c r="AE14" s="50">
        <f>IFERROR(IF('Project Managers'!Z14&lt;1,1,0),0)</f>
        <v>0</v>
      </c>
      <c r="AF14" s="51">
        <f t="shared" si="0"/>
        <v>0</v>
      </c>
      <c r="AG14" s="51">
        <f t="shared" si="0"/>
        <v>0</v>
      </c>
      <c r="AH14" s="52">
        <f t="shared" si="0"/>
        <v>0</v>
      </c>
      <c r="AI14" s="45">
        <f>IFERROR('Project Managers'!AH14/'Project Managers'!AF14,0)</f>
        <v>0</v>
      </c>
      <c r="AJ14" s="53" t="s">
        <v>55</v>
      </c>
      <c r="AK14" s="43">
        <f t="shared" si="0"/>
        <v>0</v>
      </c>
      <c r="AL14" s="43">
        <f t="shared" si="0"/>
        <v>0</v>
      </c>
      <c r="AM14" s="43">
        <f t="shared" si="0"/>
        <v>0</v>
      </c>
      <c r="AN14" s="45">
        <f>IFERROR('Project Managers'!AM14/'Project Managers'!AK14,0)</f>
        <v>0</v>
      </c>
      <c r="AO14" s="54" t="s">
        <v>55</v>
      </c>
      <c r="AP14" s="54" t="s">
        <v>55</v>
      </c>
      <c r="AQ14" s="54" t="s">
        <v>55</v>
      </c>
      <c r="AR14" s="55" t="s">
        <v>55</v>
      </c>
      <c r="AS14" s="6" t="s">
        <v>55</v>
      </c>
      <c r="BT14" s="1"/>
    </row>
    <row r="15" spans="1:72" s="2" customFormat="1" ht="15" customHeight="1" outlineLevel="1" x14ac:dyDescent="0.2">
      <c r="A15" s="1"/>
      <c r="B15" s="27" t="s">
        <v>56</v>
      </c>
      <c r="C15" s="27" t="s">
        <v>57</v>
      </c>
      <c r="D15" s="27" t="s">
        <v>58</v>
      </c>
      <c r="E15" s="28">
        <v>11473198</v>
      </c>
      <c r="F15" s="28">
        <f>IFERROR('Project Managers'!E15*(1-'Project Managers'!H15),0)</f>
        <v>9522754.3399999999</v>
      </c>
      <c r="G15" s="28">
        <f>IFERROR('Project Managers'!E15-'Project Managers'!F15,0)</f>
        <v>1950443.6600000001</v>
      </c>
      <c r="H15" s="29" cm="1">
        <f t="array" ref="H15">IF(ISBLANK('Project Managers'!AO15),'Project Managers'!R15,'Project Managers'!AO15)</f>
        <v>0.17</v>
      </c>
      <c r="I15" s="28">
        <v>10565812.699999999</v>
      </c>
      <c r="J15" s="28">
        <v>8976901.1899999995</v>
      </c>
      <c r="K15" s="28">
        <f>IFERROR('Project Managers'!I15-'Project Managers'!J15,0)</f>
        <v>1588911.5099999998</v>
      </c>
      <c r="L15" s="29">
        <f>IFERROR('Project Managers'!K15/'Project Managers'!I15,0)</f>
        <v>0.15038232790176187</v>
      </c>
      <c r="M15" s="28">
        <v>10673408.75</v>
      </c>
      <c r="N15" s="28">
        <f>IFERROR(IF('Project Managers'!M15-'Project Managers'!I15&gt;0,'Project Managers'!M15-'Project Managers'!I15,0),0)</f>
        <v>107596.05000000075</v>
      </c>
      <c r="O15" s="28">
        <f>IFERROR(IF('Project Managers'!M15-'Project Managers'!I15&lt;0,'Project Managers'!M15-'Project Managers'!I15,0),0)</f>
        <v>0</v>
      </c>
      <c r="P15" s="28">
        <f>IFERROR('Project Managers'!E15-'Project Managers'!I15,0)</f>
        <v>907385.30000000075</v>
      </c>
      <c r="Q15" s="29">
        <f>IFERROR(ROUND('Project Managers'!I15/'Project Managers'!E15,4),0)</f>
        <v>0.92090000000000005</v>
      </c>
      <c r="R15" s="29" cm="1">
        <f t="array" ref="R15">IF(ISBLANK('Project Managers'!AP15),IF('Project Managers'!I15&lt;&gt;0,('Project Managers'!I15-'Project Managers'!J15)/'Project Managers'!I15,'Project Managers'!AS15),'Project Managers'!AP15)</f>
        <v>0.19</v>
      </c>
      <c r="S15" s="30">
        <v>0.15</v>
      </c>
      <c r="T15" s="31">
        <v>0.15</v>
      </c>
      <c r="U15" s="28">
        <f>IFERROR(-('Project Managers'!I15-('Project Managers'!J15/(1-'Project Managers'!R15))),0)</f>
        <v>516781.3617283944</v>
      </c>
      <c r="V15" s="32">
        <v>-4632.4105882000003</v>
      </c>
      <c r="W15" s="28">
        <f>IFERROR(-('Project Managers'!I15-('Project Managers'!J15/(1-'Project Managers'!T15))),0)</f>
        <v>-4752.4764705877751</v>
      </c>
      <c r="X15" s="29">
        <f>IFERROR(IF('Project Managers'!AQ15="",1,'Project Managers'!AQ15),0)</f>
        <v>1</v>
      </c>
      <c r="Y15" s="30">
        <v>0.98980000000000001</v>
      </c>
      <c r="Z15" s="31">
        <v>0.87</v>
      </c>
      <c r="AA15" s="28">
        <f>IFERROR(IF('Project Managers'!Z15='Project Managers'!Q15,0,(('Project Managers'!Z15*'Project Managers'!E15)-'Project Managers'!I15)),0)</f>
        <v>-584130.43999999948</v>
      </c>
      <c r="AB15" s="28">
        <f>IFERROR(IF('Project Managers'!Z15='Project Managers'!Q15,0,('Project Managers'!AA15-('Project Managers'!AA15*'Project Managers'!L15))),0)</f>
        <v>-496287.54463451914</v>
      </c>
      <c r="AC15" s="28">
        <f>IFERROR('Project Managers'!AA15-'Project Managers'!AB15,0)</f>
        <v>-87842.895365480334</v>
      </c>
      <c r="AD15" s="33">
        <f>IFERROR('Project Managers'!AC15/'Project Managers'!AA15,0)</f>
        <v>0.15038232790176181</v>
      </c>
      <c r="AE15" s="34">
        <f>IFERROR(IF('Project Managers'!Z15&lt;1,1,0),0)</f>
        <v>1</v>
      </c>
      <c r="AF15" s="35">
        <f>IFERROR(IF('Project Managers'!AE15=0,0,('Project Managers'!AE15*'Project Managers'!E15)-'Project Managers'!I15-'Project Managers'!AA15),0)</f>
        <v>1491515.7400000002</v>
      </c>
      <c r="AG15" s="35">
        <f>IFERROR(IF('Project Managers'!AE15='Project Managers'!V15,0,('Project Managers'!AF15-('Project Managers'!AF15*'Project Managers'!L15))),0)</f>
        <v>1267218.1309166811</v>
      </c>
      <c r="AH15" s="36">
        <f>IFERROR('Project Managers'!AF15-'Project Managers'!AG15,0)</f>
        <v>224297.60908331908</v>
      </c>
      <c r="AI15" s="29">
        <f>IFERROR('Project Managers'!AH15/'Project Managers'!AF15,0)</f>
        <v>0.1503823279017619</v>
      </c>
      <c r="AJ15" s="31"/>
      <c r="AK15" s="28">
        <f>IFERROR(IF('Project Managers'!AJ15=0,0,('Project Managers'!AJ15*'Project Managers'!E15)-'Project Managers'!I15-'Project Managers'!AA15-'Project Managers'!AF15),0)</f>
        <v>0</v>
      </c>
      <c r="AL15" s="28">
        <f>IFERROR(IF('Project Managers'!AJ15='Project Managers'!V15,0,('Project Managers'!AK15-('Project Managers'!AK15*'Project Managers'!L15))),0)</f>
        <v>0</v>
      </c>
      <c r="AM15" s="28">
        <f>IFERROR('Project Managers'!AK15-'Project Managers'!AL15,0)</f>
        <v>0</v>
      </c>
      <c r="AN15" s="29">
        <f>IFERROR('Project Managers'!AM15/'Project Managers'!AK15,0)</f>
        <v>0</v>
      </c>
      <c r="AO15" s="37">
        <v>0.17</v>
      </c>
      <c r="AP15" s="37">
        <v>0.19</v>
      </c>
      <c r="AQ15" s="37"/>
      <c r="AR15" s="38"/>
      <c r="AS15" s="39">
        <v>0.3</v>
      </c>
      <c r="BT15" s="1"/>
    </row>
    <row r="16" spans="1:72" s="2" customFormat="1" ht="15" customHeight="1" outlineLevel="1" x14ac:dyDescent="0.2">
      <c r="A16" s="1"/>
      <c r="B16" s="27" t="s">
        <v>56</v>
      </c>
      <c r="C16" s="27" t="s">
        <v>59</v>
      </c>
      <c r="D16" s="27" t="s">
        <v>60</v>
      </c>
      <c r="E16" s="28">
        <v>404338.1</v>
      </c>
      <c r="F16" s="28">
        <f>IFERROR('Project Managers'!E16*(1-'Project Managers'!H16),0)</f>
        <v>337510.94794375903</v>
      </c>
      <c r="G16" s="28">
        <f>IFERROR('Project Managers'!E16-'Project Managers'!F16,0)</f>
        <v>66827.152056240942</v>
      </c>
      <c r="H16" s="29" cm="1">
        <f t="array" ref="H16">IF(ISBLANK('Project Managers'!AO16),'Project Managers'!R16,'Project Managers'!AO16)</f>
        <v>0.16527542681790555</v>
      </c>
      <c r="I16" s="28">
        <v>395116.39</v>
      </c>
      <c r="J16" s="28">
        <v>329813.36</v>
      </c>
      <c r="K16" s="28">
        <f>IFERROR('Project Managers'!I16-'Project Managers'!J16,0)</f>
        <v>65303.030000000028</v>
      </c>
      <c r="L16" s="29">
        <f>IFERROR('Project Managers'!K16/'Project Managers'!I16,0)</f>
        <v>0.16527542681790555</v>
      </c>
      <c r="M16" s="28">
        <v>404338.1</v>
      </c>
      <c r="N16" s="28">
        <f>IFERROR(IF('Project Managers'!M16-'Project Managers'!I16&gt;0,'Project Managers'!M16-'Project Managers'!I16,0),0)</f>
        <v>9221.7099999999627</v>
      </c>
      <c r="O16" s="28">
        <f>IFERROR(IF('Project Managers'!M16-'Project Managers'!I16&lt;0,'Project Managers'!M16-'Project Managers'!I16,0),0)</f>
        <v>0</v>
      </c>
      <c r="P16" s="28">
        <f>IFERROR('Project Managers'!E16-'Project Managers'!I16,0)</f>
        <v>9221.7099999999627</v>
      </c>
      <c r="Q16" s="29">
        <f>IFERROR(ROUND('Project Managers'!I16/'Project Managers'!E16,4),0)</f>
        <v>0.97719999999999996</v>
      </c>
      <c r="R16" s="29">
        <f>IF(ISBLANK('Project Managers'!AP16),IF('Project Managers'!I16&lt;&gt;0,('Project Managers'!I16-'Project Managers'!J16)/'Project Managers'!I16,'Project Managers'!AS16),'Project Managers'!AP16)</f>
        <v>0.16527542681790555</v>
      </c>
      <c r="S16" s="30">
        <v>0.17</v>
      </c>
      <c r="T16" s="31">
        <v>0.17</v>
      </c>
      <c r="U16" s="28">
        <f>IFERROR(-('Project Managers'!I16-('Project Managers'!J16/(1-'Project Managers'!R16))),0)</f>
        <v>0</v>
      </c>
      <c r="V16" s="32">
        <v>9254.1281928000008</v>
      </c>
      <c r="W16" s="28">
        <f>IFERROR(-('Project Managers'!I16-('Project Managers'!J16/(1-'Project Managers'!T16))),0)</f>
        <v>2249.1039759035921</v>
      </c>
      <c r="X16" s="29">
        <f>IFERROR(IF('Project Managers'!AQ16="",1,'Project Managers'!AQ16),0)</f>
        <v>1</v>
      </c>
      <c r="Y16" s="30">
        <v>1</v>
      </c>
      <c r="Z16" s="31">
        <v>1</v>
      </c>
      <c r="AA16" s="28">
        <f>IFERROR(IF('Project Managers'!Z16='Project Managers'!Q16,0,(('Project Managers'!Z16*'Project Managers'!E16)-'Project Managers'!I16)),0)</f>
        <v>9221.7099999999627</v>
      </c>
      <c r="AB16" s="28">
        <f>IFERROR(IF('Project Managers'!Z16='Project Managers'!Q16,0,('Project Managers'!AA16-('Project Managers'!AA16*'Project Managers'!L16))),0)</f>
        <v>7697.5879437590211</v>
      </c>
      <c r="AC16" s="28">
        <f>IFERROR('Project Managers'!AA16-'Project Managers'!AB16,0)</f>
        <v>1524.1220562409417</v>
      </c>
      <c r="AD16" s="33">
        <f>IFERROR('Project Managers'!AC16/'Project Managers'!AA16,0)</f>
        <v>0.16527542681790555</v>
      </c>
      <c r="AE16" s="34">
        <f>IFERROR(IF('Project Managers'!Z16&lt;1,1,0),0)</f>
        <v>0</v>
      </c>
      <c r="AF16" s="35">
        <f>IFERROR(IF('Project Managers'!AE16=0,0,('Project Managers'!AE16*'Project Managers'!E16)-'Project Managers'!I16-'Project Managers'!AA16),0)</f>
        <v>0</v>
      </c>
      <c r="AG16" s="35">
        <f>IFERROR(IF('Project Managers'!AE16='Project Managers'!V16,0,('Project Managers'!AF16-('Project Managers'!AF16*'Project Managers'!L16))),0)</f>
        <v>0</v>
      </c>
      <c r="AH16" s="36">
        <f>IFERROR('Project Managers'!AF16-'Project Managers'!AG16,0)</f>
        <v>0</v>
      </c>
      <c r="AI16" s="29">
        <f>IFERROR('Project Managers'!AH16/'Project Managers'!AF16,0)</f>
        <v>0</v>
      </c>
      <c r="AJ16" s="31"/>
      <c r="AK16" s="28">
        <f>IFERROR(IF('Project Managers'!AJ16=0,0,('Project Managers'!AJ16*'Project Managers'!E16)-'Project Managers'!I16-'Project Managers'!AA16-'Project Managers'!AF16),0)</f>
        <v>0</v>
      </c>
      <c r="AL16" s="28">
        <f>IFERROR(IF('Project Managers'!AJ16='Project Managers'!V16,0,('Project Managers'!AK16-('Project Managers'!AK16*'Project Managers'!L16))),0)</f>
        <v>0</v>
      </c>
      <c r="AM16" s="28">
        <f>IFERROR('Project Managers'!AK16-'Project Managers'!AL16,0)</f>
        <v>0</v>
      </c>
      <c r="AN16" s="29">
        <f>IFERROR('Project Managers'!AM16/'Project Managers'!AK16,0)</f>
        <v>0</v>
      </c>
      <c r="AO16" s="37"/>
      <c r="AP16" s="37"/>
      <c r="AQ16" s="37"/>
      <c r="AR16" s="38"/>
      <c r="AS16" s="39"/>
      <c r="BT16" s="1"/>
    </row>
    <row r="17" spans="2:45" ht="15" customHeight="1" outlineLevel="1" x14ac:dyDescent="0.2">
      <c r="B17" s="27" t="s">
        <v>56</v>
      </c>
      <c r="C17" s="27" t="s">
        <v>61</v>
      </c>
      <c r="D17" s="27" t="s">
        <v>62</v>
      </c>
      <c r="E17" s="28">
        <v>9526861</v>
      </c>
      <c r="F17" s="28">
        <f>IFERROR('Project Managers'!E17*(1-'Project Managers'!H17),0)</f>
        <v>7906107.9183372529</v>
      </c>
      <c r="G17" s="28">
        <f>IFERROR('Project Managers'!E17-'Project Managers'!F17,0)</f>
        <v>1620753.0816627471</v>
      </c>
      <c r="H17" s="29" cm="1">
        <f t="array" ref="H17">IF(ISBLANK('Project Managers'!AO17),'Project Managers'!R17,'Project Managers'!AO17)</f>
        <v>0.17012456481339944</v>
      </c>
      <c r="I17" s="28">
        <v>233598.07</v>
      </c>
      <c r="J17" s="28">
        <v>193857.3</v>
      </c>
      <c r="K17" s="28">
        <f>IFERROR('Project Managers'!I17-'Project Managers'!J17,0)</f>
        <v>39740.770000000019</v>
      </c>
      <c r="L17" s="29">
        <f>IFERROR('Project Managers'!K17/'Project Managers'!I17,0)</f>
        <v>0.17012456481339944</v>
      </c>
      <c r="M17" s="28">
        <v>268250</v>
      </c>
      <c r="N17" s="28">
        <f>IFERROR(IF('Project Managers'!M17-'Project Managers'!I17&gt;0,'Project Managers'!M17-'Project Managers'!I17,0),0)</f>
        <v>34651.929999999993</v>
      </c>
      <c r="O17" s="28">
        <f>IFERROR(IF('Project Managers'!M17-'Project Managers'!I17&lt;0,'Project Managers'!M17-'Project Managers'!I17,0),0)</f>
        <v>0</v>
      </c>
      <c r="P17" s="28">
        <f>IFERROR('Project Managers'!E17-'Project Managers'!I17,0)</f>
        <v>9293262.9299999997</v>
      </c>
      <c r="Q17" s="29">
        <f>IFERROR(ROUND('Project Managers'!I17/'Project Managers'!E17,4),0)</f>
        <v>2.4500000000000001E-2</v>
      </c>
      <c r="R17" s="29">
        <f>IF(ISBLANK('Project Managers'!AP17),IF('Project Managers'!I17&lt;&gt;0,('Project Managers'!I17-'Project Managers'!J17)/'Project Managers'!I17,'Project Managers'!AS17),'Project Managers'!AP17)</f>
        <v>0.17012456481339944</v>
      </c>
      <c r="S17" s="30">
        <v>0.15</v>
      </c>
      <c r="T17" s="31">
        <v>0.17</v>
      </c>
      <c r="U17" s="28">
        <f>IFERROR(-('Project Managers'!I17-('Project Managers'!J17/(1-'Project Managers'!R17))),0)</f>
        <v>0</v>
      </c>
      <c r="V17" s="32">
        <v>-2771.5917647000001</v>
      </c>
      <c r="W17" s="28">
        <f>IFERROR(-('Project Managers'!I17-('Project Managers'!J17/(1-'Project Managers'!T17))),0)</f>
        <v>-35.057951807248173</v>
      </c>
      <c r="X17" s="29">
        <f>IFERROR(IF('Project Managers'!AQ17="",1,'Project Managers'!AQ17),0)</f>
        <v>1</v>
      </c>
      <c r="Y17" s="30">
        <v>0.1111</v>
      </c>
      <c r="Z17" s="31">
        <v>0.05</v>
      </c>
      <c r="AA17" s="28">
        <f>IFERROR(IF('Project Managers'!Z17='Project Managers'!Q17,0,(('Project Managers'!Z17*'Project Managers'!E17)-'Project Managers'!I17)),0)</f>
        <v>242744.98000000004</v>
      </c>
      <c r="AB17" s="28">
        <f>IFERROR(IF('Project Managers'!Z17='Project Managers'!Q17,0,('Project Managers'!AA17-('Project Managers'!AA17*'Project Managers'!L17))),0)</f>
        <v>201448.09591686269</v>
      </c>
      <c r="AC17" s="28">
        <f>IFERROR('Project Managers'!AA17-'Project Managers'!AB17,0)</f>
        <v>41296.884083137353</v>
      </c>
      <c r="AD17" s="33">
        <f>IFERROR('Project Managers'!AC17/'Project Managers'!AA17,0)</f>
        <v>0.17012456481339941</v>
      </c>
      <c r="AE17" s="34">
        <f>IFERROR(IF('Project Managers'!Z17&lt;1,1,0),0)</f>
        <v>1</v>
      </c>
      <c r="AF17" s="35">
        <f>IFERROR(IF('Project Managers'!AE17=0,0,('Project Managers'!AE17*'Project Managers'!E17)-'Project Managers'!I17-'Project Managers'!AA17),0)</f>
        <v>9050517.9499999993</v>
      </c>
      <c r="AG17" s="35">
        <f>IFERROR(IF('Project Managers'!AE17='Project Managers'!V17,0,('Project Managers'!AF17-('Project Managers'!AF17*'Project Managers'!L17))),0)</f>
        <v>7510802.5224203896</v>
      </c>
      <c r="AH17" s="36">
        <f>IFERROR('Project Managers'!AF17-'Project Managers'!AG17,0)</f>
        <v>1539715.4275796097</v>
      </c>
      <c r="AI17" s="29">
        <f>IFERROR('Project Managers'!AH17/'Project Managers'!AF17,0)</f>
        <v>0.17012456481339941</v>
      </c>
      <c r="AJ17" s="31">
        <v>1</v>
      </c>
      <c r="AK17" s="28">
        <f>IFERROR(IF('Project Managers'!AJ17=0,0,('Project Managers'!AJ17*'Project Managers'!E17)-'Project Managers'!I17-'Project Managers'!AA17-'Project Managers'!AF17),0)</f>
        <v>0</v>
      </c>
      <c r="AL17" s="28">
        <f>IFERROR(IF('Project Managers'!AJ17='Project Managers'!V17,0,('Project Managers'!AK17-('Project Managers'!AK17*'Project Managers'!L17))),0)</f>
        <v>0</v>
      </c>
      <c r="AM17" s="28">
        <f>IFERROR('Project Managers'!AK17-'Project Managers'!AL17,0)</f>
        <v>0</v>
      </c>
      <c r="AN17" s="29">
        <f>IFERROR('Project Managers'!AM17/'Project Managers'!AK17,0)</f>
        <v>0</v>
      </c>
      <c r="AO17" s="37"/>
      <c r="AP17" s="37"/>
      <c r="AQ17" s="37"/>
      <c r="AR17" s="38"/>
      <c r="AS17" s="39">
        <v>0.17</v>
      </c>
    </row>
    <row r="18" spans="2:45" ht="15" customHeight="1" x14ac:dyDescent="0.2">
      <c r="B18" s="41" t="s">
        <v>63</v>
      </c>
      <c r="C18" s="42" t="s">
        <v>55</v>
      </c>
      <c r="D18" s="41" t="s">
        <v>55</v>
      </c>
      <c r="E18" s="43">
        <f t="shared" ref="E18:AM30" si="1">SUBTOTAL(9,E15:E17)</f>
        <v>21404397.100000001</v>
      </c>
      <c r="F18" s="44">
        <f t="shared" si="1"/>
        <v>17766373.20628101</v>
      </c>
      <c r="G18" s="43">
        <f t="shared" si="1"/>
        <v>3638023.8937189882</v>
      </c>
      <c r="H18" s="45" t="str" cm="1">
        <f t="array" ref="H18">IF(ISBLANK('Project Managers'!AO18),'Project Managers'!R18,'Project Managers'!AO18)</f>
        <v>-</v>
      </c>
      <c r="I18" s="43">
        <f t="shared" si="1"/>
        <v>11194527.16</v>
      </c>
      <c r="J18" s="43">
        <f t="shared" si="1"/>
        <v>9500571.8499999996</v>
      </c>
      <c r="K18" s="43">
        <f t="shared" si="1"/>
        <v>1693955.3099999998</v>
      </c>
      <c r="L18" s="45">
        <f>IFERROR('Project Managers'!K18/'Project Managers'!I18,0)</f>
        <v>0.15131995177543522</v>
      </c>
      <c r="M18" s="43">
        <f t="shared" si="1"/>
        <v>11345996.85</v>
      </c>
      <c r="N18" s="43">
        <f t="shared" si="1"/>
        <v>151469.6900000007</v>
      </c>
      <c r="O18" s="43">
        <f t="shared" si="1"/>
        <v>0</v>
      </c>
      <c r="P18" s="43">
        <f t="shared" si="1"/>
        <v>10209869.940000001</v>
      </c>
      <c r="Q18" s="45">
        <f>IFERROR(ROUND('Project Managers'!I18/'Project Managers'!E18,4),0)</f>
        <v>0.52300000000000002</v>
      </c>
      <c r="R18" s="45" t="s">
        <v>55</v>
      </c>
      <c r="S18" s="46" t="s">
        <v>55</v>
      </c>
      <c r="T18" s="47" t="s">
        <v>55</v>
      </c>
      <c r="U18" s="43">
        <f t="shared" si="1"/>
        <v>516781.3617283944</v>
      </c>
      <c r="V18" s="48">
        <f t="shared" si="1"/>
        <v>1850.1258399000003</v>
      </c>
      <c r="W18" s="43">
        <f t="shared" si="1"/>
        <v>-2538.4304464914312</v>
      </c>
      <c r="X18" s="45" t="s">
        <v>55</v>
      </c>
      <c r="Y18" s="46" t="s">
        <v>55</v>
      </c>
      <c r="Z18" s="47" t="s">
        <v>55</v>
      </c>
      <c r="AA18" s="43">
        <f t="shared" si="1"/>
        <v>-332163.74999999948</v>
      </c>
      <c r="AB18" s="43">
        <f t="shared" si="1"/>
        <v>-287141.86077389738</v>
      </c>
      <c r="AC18" s="43">
        <f>IFERROR('Project Managers'!AA18-'Project Managers'!AB18,0)</f>
        <v>-45021.889226102096</v>
      </c>
      <c r="AD18" s="49">
        <f>IFERROR('Project Managers'!AC18/'Project Managers'!AA18,0)</f>
        <v>0.13554124803233997</v>
      </c>
      <c r="AE18" s="50">
        <f>IFERROR(IF('Project Managers'!Z18&lt;1,1,0),0)</f>
        <v>0</v>
      </c>
      <c r="AF18" s="51">
        <f t="shared" si="1"/>
        <v>10542033.689999999</v>
      </c>
      <c r="AG18" s="51">
        <f t="shared" si="1"/>
        <v>8778020.6533370707</v>
      </c>
      <c r="AH18" s="52">
        <f t="shared" si="1"/>
        <v>1764013.0366629288</v>
      </c>
      <c r="AI18" s="45">
        <f>IFERROR('Project Managers'!AH18/'Project Managers'!AF18,0)</f>
        <v>0.16733137917556104</v>
      </c>
      <c r="AJ18" s="53" t="s">
        <v>55</v>
      </c>
      <c r="AK18" s="43">
        <f t="shared" si="1"/>
        <v>0</v>
      </c>
      <c r="AL18" s="43">
        <f t="shared" si="1"/>
        <v>0</v>
      </c>
      <c r="AM18" s="43">
        <f t="shared" si="1"/>
        <v>0</v>
      </c>
      <c r="AN18" s="45">
        <f>IFERROR('Project Managers'!AM18/'Project Managers'!AK18,0)</f>
        <v>0</v>
      </c>
      <c r="AO18" s="54" t="s">
        <v>55</v>
      </c>
      <c r="AP18" s="54" t="s">
        <v>55</v>
      </c>
      <c r="AQ18" s="54" t="s">
        <v>55</v>
      </c>
      <c r="AR18" s="55" t="s">
        <v>55</v>
      </c>
      <c r="AS18" s="6" t="s">
        <v>55</v>
      </c>
    </row>
    <row r="19" spans="2:45" ht="15" customHeight="1" outlineLevel="1" x14ac:dyDescent="0.2">
      <c r="B19" s="27" t="s">
        <v>64</v>
      </c>
      <c r="C19" s="27" t="s">
        <v>65</v>
      </c>
      <c r="D19" s="27" t="s">
        <v>66</v>
      </c>
      <c r="E19" s="28">
        <v>10936331.73</v>
      </c>
      <c r="F19" s="28">
        <f>IFERROR('Project Managers'!E19*(1-'Project Managers'!H19),0)</f>
        <v>8858428.7013000008</v>
      </c>
      <c r="G19" s="28">
        <f>IFERROR('Project Managers'!E19-'Project Managers'!F19,0)</f>
        <v>2077903.0286999997</v>
      </c>
      <c r="H19" s="29" cm="1">
        <f t="array" ref="H19">IF(ISBLANK('Project Managers'!AO19),'Project Managers'!R19,'Project Managers'!AO19)</f>
        <v>0.19</v>
      </c>
      <c r="I19" s="28">
        <v>2811002.65</v>
      </c>
      <c r="J19" s="28">
        <v>2342502.19</v>
      </c>
      <c r="K19" s="28">
        <f>IFERROR('Project Managers'!I19-'Project Managers'!J19,0)</f>
        <v>468500.45999999996</v>
      </c>
      <c r="L19" s="29">
        <f>IFERROR('Project Managers'!K19/'Project Managers'!I19,0)</f>
        <v>0.16666667318865744</v>
      </c>
      <c r="M19" s="28">
        <v>3561220.13</v>
      </c>
      <c r="N19" s="28">
        <f>IFERROR(IF('Project Managers'!M19-'Project Managers'!I19&gt;0,'Project Managers'!M19-'Project Managers'!I19,0),0)</f>
        <v>750217.48</v>
      </c>
      <c r="O19" s="28">
        <f>IFERROR(IF('Project Managers'!M19-'Project Managers'!I19&lt;0,'Project Managers'!M19-'Project Managers'!I19,0),0)</f>
        <v>0</v>
      </c>
      <c r="P19" s="28">
        <f>IFERROR('Project Managers'!E19-'Project Managers'!I19,0)</f>
        <v>8125329.0800000001</v>
      </c>
      <c r="Q19" s="29">
        <f>IFERROR(ROUND('Project Managers'!I19/'Project Managers'!E19,4),0)</f>
        <v>0.25700000000000001</v>
      </c>
      <c r="R19" s="29" cm="1">
        <f t="array" ref="R19">IF(ISBLANK('Project Managers'!AP19),IF('Project Managers'!I19&lt;&gt;0,('Project Managers'!I19-'Project Managers'!J19)/'Project Managers'!I19,'Project Managers'!AS19),'Project Managers'!AP19)</f>
        <v>0.18</v>
      </c>
      <c r="S19" s="30">
        <v>0.17</v>
      </c>
      <c r="T19" s="31">
        <v>0.18</v>
      </c>
      <c r="U19" s="28">
        <f>IFERROR(-('Project Managers'!I19-('Project Managers'!J19/(1-'Project Managers'!R19))),0)</f>
        <v>45707.337804877665</v>
      </c>
      <c r="V19" s="32">
        <v>9491.6303614000008</v>
      </c>
      <c r="W19" s="28">
        <f>IFERROR(-('Project Managers'!I19-('Project Managers'!J19/(1-'Project Managers'!T19))),0)</f>
        <v>45707.337804877665</v>
      </c>
      <c r="X19" s="29">
        <f>IFERROR(IF('Project Managers'!AQ19="",1,'Project Managers'!AQ19),0)</f>
        <v>1</v>
      </c>
      <c r="Y19" s="30">
        <v>0.3337</v>
      </c>
      <c r="Z19" s="31">
        <v>0.26</v>
      </c>
      <c r="AA19" s="28">
        <f>IFERROR(IF('Project Managers'!Z19='Project Managers'!Q19,0,(('Project Managers'!Z19*'Project Managers'!E19)-'Project Managers'!I19)),0)</f>
        <v>32443.599800000433</v>
      </c>
      <c r="AB19" s="28">
        <f>IFERROR(IF('Project Managers'!Z19='Project Managers'!Q19,0,('Project Managers'!AA19-('Project Managers'!AA19*'Project Managers'!L19))),0)</f>
        <v>27036.332955070167</v>
      </c>
      <c r="AC19" s="28">
        <f>IFERROR('Project Managers'!AA19-'Project Managers'!AB19,0)</f>
        <v>5407.2668449302655</v>
      </c>
      <c r="AD19" s="33">
        <f>IFERROR('Project Managers'!AC19/'Project Managers'!AA19,0)</f>
        <v>0.16666667318865749</v>
      </c>
      <c r="AE19" s="34">
        <f>IFERROR(IF('Project Managers'!Z19&lt;1,1,0),0)</f>
        <v>1</v>
      </c>
      <c r="AF19" s="35">
        <f>IFERROR(IF('Project Managers'!AE19=0,0,('Project Managers'!AE19*'Project Managers'!E19)-'Project Managers'!I19-'Project Managers'!AA19),0)</f>
        <v>8092885.4802000001</v>
      </c>
      <c r="AG19" s="35">
        <f>IFERROR(IF('Project Managers'!AE19='Project Managers'!V19,0,('Project Managers'!AF19-('Project Managers'!AF19*'Project Managers'!L19))),0)</f>
        <v>6744071.1807182757</v>
      </c>
      <c r="AH19" s="36">
        <f>IFERROR('Project Managers'!AF19-'Project Managers'!AG19,0)</f>
        <v>1348814.2994817244</v>
      </c>
      <c r="AI19" s="29">
        <f>IFERROR('Project Managers'!AH19/'Project Managers'!AF19,0)</f>
        <v>0.16666667318865744</v>
      </c>
      <c r="AJ19" s="31">
        <v>1</v>
      </c>
      <c r="AK19" s="28">
        <f>IFERROR(IF('Project Managers'!AJ19=0,0,('Project Managers'!AJ19*'Project Managers'!E19)-'Project Managers'!I19-'Project Managers'!AA19-'Project Managers'!AF19),0)</f>
        <v>0</v>
      </c>
      <c r="AL19" s="28">
        <f>IFERROR(IF('Project Managers'!AJ19='Project Managers'!V19,0,('Project Managers'!AK19-('Project Managers'!AK19*'Project Managers'!L19))),0)</f>
        <v>0</v>
      </c>
      <c r="AM19" s="28">
        <f>IFERROR('Project Managers'!AK19-'Project Managers'!AL19,0)</f>
        <v>0</v>
      </c>
      <c r="AN19" s="29">
        <f>IFERROR('Project Managers'!AM19/'Project Managers'!AK19,0)</f>
        <v>0</v>
      </c>
      <c r="AO19" s="37">
        <v>0.19</v>
      </c>
      <c r="AP19" s="37">
        <v>0.18</v>
      </c>
      <c r="AQ19" s="37"/>
      <c r="AR19" s="38"/>
      <c r="AS19" s="39">
        <v>0.16700000000000001</v>
      </c>
    </row>
    <row r="20" spans="2:45" ht="15" customHeight="1" outlineLevel="1" x14ac:dyDescent="0.2">
      <c r="B20" s="27" t="s">
        <v>64</v>
      </c>
      <c r="C20" s="27" t="s">
        <v>67</v>
      </c>
      <c r="D20" s="27" t="s">
        <v>68</v>
      </c>
      <c r="E20" s="28">
        <v>8053000</v>
      </c>
      <c r="F20" s="28">
        <f>IFERROR('Project Managers'!E20*(1-'Project Managers'!H20),0)</f>
        <v>6682987.6517993184</v>
      </c>
      <c r="G20" s="28">
        <f>IFERROR('Project Managers'!E20-'Project Managers'!F20,0)</f>
        <v>1370012.3482006816</v>
      </c>
      <c r="H20" s="29" cm="1">
        <f t="array" ref="H20">IF(ISBLANK('Project Managers'!AO20),'Project Managers'!R20,'Project Managers'!AO20)</f>
        <v>0.17012446891850005</v>
      </c>
      <c r="I20" s="28">
        <v>886097.52</v>
      </c>
      <c r="J20" s="28">
        <v>735350.65</v>
      </c>
      <c r="K20" s="28">
        <f>IFERROR('Project Managers'!I20-'Project Managers'!J20,0)</f>
        <v>150746.87</v>
      </c>
      <c r="L20" s="29">
        <f>IFERROR('Project Managers'!K20/'Project Managers'!I20,0)</f>
        <v>0.17012446891850005</v>
      </c>
      <c r="M20" s="28">
        <v>1670850</v>
      </c>
      <c r="N20" s="28">
        <f>IFERROR(IF('Project Managers'!M20-'Project Managers'!I20&gt;0,'Project Managers'!M20-'Project Managers'!I20,0),0)</f>
        <v>784752.48</v>
      </c>
      <c r="O20" s="28">
        <f>IFERROR(IF('Project Managers'!M20-'Project Managers'!I20&lt;0,'Project Managers'!M20-'Project Managers'!I20,0),0)</f>
        <v>0</v>
      </c>
      <c r="P20" s="28">
        <f>IFERROR('Project Managers'!E20-'Project Managers'!I20,0)</f>
        <v>7166902.4800000004</v>
      </c>
      <c r="Q20" s="29">
        <f>IFERROR(ROUND('Project Managers'!I20/'Project Managers'!E20,4),0)</f>
        <v>0.11</v>
      </c>
      <c r="R20" s="29">
        <f>IF(ISBLANK('Project Managers'!AP20),IF('Project Managers'!I20&lt;&gt;0,('Project Managers'!I20-'Project Managers'!J20)/'Project Managers'!I20,'Project Managers'!AS20),'Project Managers'!AP20)</f>
        <v>0.17012446891850005</v>
      </c>
      <c r="S20" s="30">
        <v>0.15</v>
      </c>
      <c r="T20" s="31">
        <v>0.2</v>
      </c>
      <c r="U20" s="28">
        <f>IFERROR(-('Project Managers'!I20-('Project Managers'!J20/(1-'Project Managers'!R20))),0)</f>
        <v>0</v>
      </c>
      <c r="V20" s="32">
        <v>3675.7847059000001</v>
      </c>
      <c r="W20" s="28">
        <f>IFERROR(-('Project Managers'!I20-('Project Managers'!J20/(1-'Project Managers'!T20))),0)</f>
        <v>33090.792499999981</v>
      </c>
      <c r="X20" s="29">
        <f>IFERROR(IF('Project Managers'!AQ20="",1,'Project Managers'!AQ20),0)</f>
        <v>1</v>
      </c>
      <c r="Y20" s="30">
        <v>0.21590000000000001</v>
      </c>
      <c r="Z20" s="31">
        <v>0.25</v>
      </c>
      <c r="AA20" s="28">
        <f>IFERROR(IF('Project Managers'!Z20='Project Managers'!Q20,0,(('Project Managers'!Z20*'Project Managers'!E20)-'Project Managers'!I20)),0)</f>
        <v>1127152.48</v>
      </c>
      <c r="AB20" s="28">
        <f>IFERROR(IF('Project Managers'!Z20='Project Managers'!Q20,0,('Project Managers'!AA20-('Project Managers'!AA20*'Project Managers'!L20))),0)</f>
        <v>935396.26294982969</v>
      </c>
      <c r="AC20" s="28">
        <f>IFERROR('Project Managers'!AA20-'Project Managers'!AB20,0)</f>
        <v>191756.21705017029</v>
      </c>
      <c r="AD20" s="33">
        <f>IFERROR('Project Managers'!AC20/'Project Managers'!AA20,0)</f>
        <v>0.17012446891850008</v>
      </c>
      <c r="AE20" s="34">
        <f>IFERROR(IF('Project Managers'!Z20&lt;1,1,0),0)</f>
        <v>1</v>
      </c>
      <c r="AF20" s="35">
        <f>IFERROR(IF('Project Managers'!AE20=0,0,('Project Managers'!AE20*'Project Managers'!E20)-'Project Managers'!I20-'Project Managers'!AA20),0)</f>
        <v>6039750</v>
      </c>
      <c r="AG20" s="35">
        <f>IFERROR(IF('Project Managers'!AE20='Project Managers'!V20,0,('Project Managers'!AF20-('Project Managers'!AF20*'Project Managers'!L20))),0)</f>
        <v>5012240.738849489</v>
      </c>
      <c r="AH20" s="36">
        <f>IFERROR('Project Managers'!AF20-'Project Managers'!AG20,0)</f>
        <v>1027509.261150511</v>
      </c>
      <c r="AI20" s="29">
        <f>IFERROR('Project Managers'!AH20/'Project Managers'!AF20,0)</f>
        <v>0.17012446891850011</v>
      </c>
      <c r="AJ20" s="31"/>
      <c r="AK20" s="28">
        <f>IFERROR(IF('Project Managers'!AJ20=0,0,('Project Managers'!AJ20*'Project Managers'!E20)-'Project Managers'!I20-'Project Managers'!AA20-'Project Managers'!AF20),0)</f>
        <v>0</v>
      </c>
      <c r="AL20" s="28">
        <f>IFERROR(IF('Project Managers'!AJ20='Project Managers'!V20,0,('Project Managers'!AK20-('Project Managers'!AK20*'Project Managers'!L20))),0)</f>
        <v>0</v>
      </c>
      <c r="AM20" s="28">
        <f>IFERROR('Project Managers'!AK20-'Project Managers'!AL20,0)</f>
        <v>0</v>
      </c>
      <c r="AN20" s="29">
        <f>IFERROR('Project Managers'!AM20/'Project Managers'!AK20,0)</f>
        <v>0</v>
      </c>
      <c r="AO20" s="37"/>
      <c r="AP20" s="37"/>
      <c r="AQ20" s="37"/>
      <c r="AR20" s="38"/>
      <c r="AS20" s="39">
        <v>0.17</v>
      </c>
    </row>
    <row r="21" spans="2:45" ht="15" customHeight="1" x14ac:dyDescent="0.2">
      <c r="B21" s="41" t="s">
        <v>69</v>
      </c>
      <c r="C21" s="42" t="s">
        <v>55</v>
      </c>
      <c r="D21" s="41" t="s">
        <v>55</v>
      </c>
      <c r="E21" s="43">
        <f t="shared" si="0"/>
        <v>18989331.73</v>
      </c>
      <c r="F21" s="44">
        <f t="shared" si="0"/>
        <v>15541416.35309932</v>
      </c>
      <c r="G21" s="43">
        <f t="shared" si="0"/>
        <v>3447915.3769006813</v>
      </c>
      <c r="H21" s="45" t="str" cm="1">
        <f t="array" ref="H21">IF(ISBLANK('Project Managers'!AO21),'Project Managers'!R21,'Project Managers'!AO21)</f>
        <v>-</v>
      </c>
      <c r="I21" s="43">
        <f t="shared" si="0"/>
        <v>3697100.17</v>
      </c>
      <c r="J21" s="43">
        <f t="shared" si="0"/>
        <v>3077852.84</v>
      </c>
      <c r="K21" s="43">
        <f t="shared" si="0"/>
        <v>619247.32999999996</v>
      </c>
      <c r="L21" s="45">
        <f>IFERROR('Project Managers'!K21/'Project Managers'!I21,0)</f>
        <v>0.16749541573822166</v>
      </c>
      <c r="M21" s="43">
        <f t="shared" si="0"/>
        <v>5232070.13</v>
      </c>
      <c r="N21" s="43">
        <f t="shared" si="0"/>
        <v>1534969.96</v>
      </c>
      <c r="O21" s="43">
        <f t="shared" si="0"/>
        <v>0</v>
      </c>
      <c r="P21" s="43">
        <f t="shared" si="0"/>
        <v>15292231.560000001</v>
      </c>
      <c r="Q21" s="45">
        <f>IFERROR(ROUND('Project Managers'!I21/'Project Managers'!E21,4),0)</f>
        <v>0.19470000000000001</v>
      </c>
      <c r="R21" s="45" t="s">
        <v>55</v>
      </c>
      <c r="S21" s="46" t="s">
        <v>55</v>
      </c>
      <c r="T21" s="47" t="s">
        <v>55</v>
      </c>
      <c r="U21" s="43">
        <f t="shared" si="0"/>
        <v>45707.337804877665</v>
      </c>
      <c r="V21" s="48">
        <f t="shared" si="0"/>
        <v>13167.4150673</v>
      </c>
      <c r="W21" s="43">
        <f t="shared" si="0"/>
        <v>78798.130304877646</v>
      </c>
      <c r="X21" s="45" t="s">
        <v>55</v>
      </c>
      <c r="Y21" s="46" t="s">
        <v>55</v>
      </c>
      <c r="Z21" s="47" t="s">
        <v>55</v>
      </c>
      <c r="AA21" s="43">
        <f t="shared" si="0"/>
        <v>1159596.0798000004</v>
      </c>
      <c r="AB21" s="43">
        <f t="shared" si="0"/>
        <v>962432.59590489988</v>
      </c>
      <c r="AC21" s="43">
        <f>IFERROR('Project Managers'!AA21-'Project Managers'!AB21,0)</f>
        <v>197163.48389510054</v>
      </c>
      <c r="AD21" s="49">
        <f>IFERROR('Project Managers'!AC21/'Project Managers'!AA21,0)</f>
        <v>0.17002772545514816</v>
      </c>
      <c r="AE21" s="50">
        <f>IFERROR(IF('Project Managers'!Z21&lt;1,1,0),0)</f>
        <v>0</v>
      </c>
      <c r="AF21" s="51">
        <f t="shared" si="0"/>
        <v>14132635.4802</v>
      </c>
      <c r="AG21" s="51">
        <f t="shared" si="0"/>
        <v>11756311.919567764</v>
      </c>
      <c r="AH21" s="52">
        <f t="shared" si="0"/>
        <v>2376323.5606322354</v>
      </c>
      <c r="AI21" s="45">
        <f>IFERROR('Project Managers'!AH21/'Project Managers'!AF21,0)</f>
        <v>0.16814440335360623</v>
      </c>
      <c r="AJ21" s="53" t="s">
        <v>55</v>
      </c>
      <c r="AK21" s="43">
        <f t="shared" si="0"/>
        <v>0</v>
      </c>
      <c r="AL21" s="43">
        <f t="shared" si="0"/>
        <v>0</v>
      </c>
      <c r="AM21" s="43">
        <f t="shared" si="0"/>
        <v>0</v>
      </c>
      <c r="AN21" s="45">
        <f>IFERROR('Project Managers'!AM21/'Project Managers'!AK21,0)</f>
        <v>0</v>
      </c>
      <c r="AO21" s="54" t="s">
        <v>55</v>
      </c>
      <c r="AP21" s="54" t="s">
        <v>55</v>
      </c>
      <c r="AQ21" s="54" t="s">
        <v>55</v>
      </c>
      <c r="AR21" s="55" t="s">
        <v>55</v>
      </c>
      <c r="AS21" s="6" t="s">
        <v>55</v>
      </c>
    </row>
    <row r="22" spans="2:45" ht="15" customHeight="1" outlineLevel="1" x14ac:dyDescent="0.2">
      <c r="B22" s="27" t="s">
        <v>70</v>
      </c>
      <c r="C22" s="27" t="s">
        <v>71</v>
      </c>
      <c r="D22" s="27" t="s">
        <v>72</v>
      </c>
      <c r="E22" s="28">
        <v>1484896.81</v>
      </c>
      <c r="F22" s="28">
        <f>IFERROR('Project Managers'!E22*(1-'Project Managers'!H22),0)</f>
        <v>1158219.5118</v>
      </c>
      <c r="G22" s="28">
        <f>IFERROR('Project Managers'!E22-'Project Managers'!F22,0)</f>
        <v>326677.29820000008</v>
      </c>
      <c r="H22" s="29" cm="1">
        <f t="array" ref="H22">IF(ISBLANK('Project Managers'!AO22),'Project Managers'!R22,'Project Managers'!AO22)</f>
        <v>0.22</v>
      </c>
      <c r="I22" s="28">
        <v>1484896.81</v>
      </c>
      <c r="J22" s="28">
        <v>1465800.35</v>
      </c>
      <c r="K22" s="28">
        <f>IFERROR('Project Managers'!I22-'Project Managers'!J22,0)</f>
        <v>19096.459999999963</v>
      </c>
      <c r="L22" s="29">
        <f>IFERROR('Project Managers'!K22/'Project Managers'!I22,0)</f>
        <v>1.2860462674170578E-2</v>
      </c>
      <c r="M22" s="28">
        <v>1484896.81</v>
      </c>
      <c r="N22" s="28">
        <f>IFERROR(IF('Project Managers'!M22-'Project Managers'!I22&gt;0,'Project Managers'!M22-'Project Managers'!I22,0),0)</f>
        <v>0</v>
      </c>
      <c r="O22" s="28">
        <f>IFERROR(IF('Project Managers'!M22-'Project Managers'!I22&lt;0,'Project Managers'!M22-'Project Managers'!I22,0),0)</f>
        <v>0</v>
      </c>
      <c r="P22" s="28">
        <f>IFERROR('Project Managers'!E22-'Project Managers'!I22,0)</f>
        <v>0</v>
      </c>
      <c r="Q22" s="29">
        <f>IFERROR(ROUND('Project Managers'!I22/'Project Managers'!E22,4),0)</f>
        <v>1</v>
      </c>
      <c r="R22" s="29" cm="1">
        <f t="array" ref="R22">IF(ISBLANK('Project Managers'!AP22),IF('Project Managers'!I22&lt;&gt;0,('Project Managers'!I22-'Project Managers'!J22)/'Project Managers'!I22,'Project Managers'!AS22),'Project Managers'!AP22)</f>
        <v>0.05</v>
      </c>
      <c r="S22" s="30">
        <v>1.7999999999999999E-2</v>
      </c>
      <c r="T22" s="31">
        <v>0.01</v>
      </c>
      <c r="U22" s="28">
        <f>IFERROR(-('Project Managers'!I22-('Project Managers'!J22/(1-'Project Managers'!R22))),0)</f>
        <v>58050.926842105342</v>
      </c>
      <c r="V22" s="32">
        <v>6070.7358248</v>
      </c>
      <c r="W22" s="28">
        <f>IFERROR(-('Project Managers'!I22-('Project Managers'!J22/(1-'Project Managers'!T22))),0)</f>
        <v>-4290.3958585858345</v>
      </c>
      <c r="X22" s="29">
        <f>IFERROR(IF('Project Managers'!AQ22="",1,'Project Managers'!AQ22),0)</f>
        <v>1</v>
      </c>
      <c r="Y22" s="30">
        <v>1</v>
      </c>
      <c r="Z22" s="31">
        <v>1</v>
      </c>
      <c r="AA22" s="28">
        <f>IFERROR(IF('Project Managers'!Z22='Project Managers'!Q22,0,(('Project Managers'!Z22*'Project Managers'!E22)-'Project Managers'!I22)),0)</f>
        <v>0</v>
      </c>
      <c r="AB22" s="28">
        <f>IFERROR(IF('Project Managers'!Z22='Project Managers'!Q22,0,('Project Managers'!AA22-('Project Managers'!AA22*'Project Managers'!L22))),0)</f>
        <v>0</v>
      </c>
      <c r="AC22" s="28">
        <f>IFERROR('Project Managers'!AA22-'Project Managers'!AB22,0)</f>
        <v>0</v>
      </c>
      <c r="AD22" s="33">
        <f>IFERROR('Project Managers'!AC22/'Project Managers'!AA22,0)</f>
        <v>0</v>
      </c>
      <c r="AE22" s="34">
        <f>IFERROR(IF('Project Managers'!Z22&lt;1,1,0),0)</f>
        <v>0</v>
      </c>
      <c r="AF22" s="35">
        <f>IFERROR(IF('Project Managers'!AE22=0,0,('Project Managers'!AE22*'Project Managers'!E22)-'Project Managers'!I22-'Project Managers'!AA22),0)</f>
        <v>0</v>
      </c>
      <c r="AG22" s="35">
        <f>IFERROR(IF('Project Managers'!AE22='Project Managers'!V22,0,('Project Managers'!AF22-('Project Managers'!AF22*'Project Managers'!L22))),0)</f>
        <v>0</v>
      </c>
      <c r="AH22" s="36">
        <f>IFERROR('Project Managers'!AF22-'Project Managers'!AG22,0)</f>
        <v>0</v>
      </c>
      <c r="AI22" s="29">
        <f>IFERROR('Project Managers'!AH22/'Project Managers'!AF22,0)</f>
        <v>0</v>
      </c>
      <c r="AJ22" s="31"/>
      <c r="AK22" s="28">
        <f>IFERROR(IF('Project Managers'!AJ22=0,0,('Project Managers'!AJ22*'Project Managers'!E22)-'Project Managers'!I22-'Project Managers'!AA22-'Project Managers'!AF22),0)</f>
        <v>0</v>
      </c>
      <c r="AL22" s="28">
        <f>IFERROR(IF('Project Managers'!AJ22='Project Managers'!V22,0,('Project Managers'!AK22-('Project Managers'!AK22*'Project Managers'!L22))),0)</f>
        <v>0</v>
      </c>
      <c r="AM22" s="28">
        <f>IFERROR('Project Managers'!AK22-'Project Managers'!AL22,0)</f>
        <v>0</v>
      </c>
      <c r="AN22" s="29">
        <f>IFERROR('Project Managers'!AM22/'Project Managers'!AK22,0)</f>
        <v>0</v>
      </c>
      <c r="AO22" s="37">
        <v>0.22</v>
      </c>
      <c r="AP22" s="37">
        <v>0.05</v>
      </c>
      <c r="AQ22" s="37"/>
      <c r="AR22" s="38"/>
      <c r="AS22" s="39">
        <v>0.06</v>
      </c>
    </row>
    <row r="23" spans="2:45" ht="15" customHeight="1" outlineLevel="1" x14ac:dyDescent="0.2">
      <c r="B23" s="27" t="s">
        <v>70</v>
      </c>
      <c r="C23" s="27" t="s">
        <v>73</v>
      </c>
      <c r="D23" s="27" t="s">
        <v>74</v>
      </c>
      <c r="E23" s="28">
        <v>4093979.32</v>
      </c>
      <c r="F23" s="28">
        <f>IFERROR('Project Managers'!E23*(1-'Project Managers'!H23),0)</f>
        <v>3398002.8355999999</v>
      </c>
      <c r="G23" s="28">
        <f>IFERROR('Project Managers'!E23-'Project Managers'!F23,0)</f>
        <v>695976.48439999996</v>
      </c>
      <c r="H23" s="29" cm="1">
        <f t="array" ref="H23">IF(ISBLANK('Project Managers'!AO23),'Project Managers'!R23,'Project Managers'!AO23)</f>
        <v>0.17</v>
      </c>
      <c r="I23" s="28">
        <v>4093633.32</v>
      </c>
      <c r="J23" s="28">
        <v>3313579.73</v>
      </c>
      <c r="K23" s="28">
        <f>IFERROR('Project Managers'!I23-'Project Managers'!J23,0)</f>
        <v>780053.58999999985</v>
      </c>
      <c r="L23" s="29">
        <f>IFERROR('Project Managers'!K23/'Project Managers'!I23,0)</f>
        <v>0.19055287296713713</v>
      </c>
      <c r="M23" s="28">
        <v>4093633.32</v>
      </c>
      <c r="N23" s="28">
        <f>IFERROR(IF('Project Managers'!M23-'Project Managers'!I23&gt;0,'Project Managers'!M23-'Project Managers'!I23,0),0)</f>
        <v>0</v>
      </c>
      <c r="O23" s="28">
        <f>IFERROR(IF('Project Managers'!M23-'Project Managers'!I23&lt;0,'Project Managers'!M23-'Project Managers'!I23,0),0)</f>
        <v>0</v>
      </c>
      <c r="P23" s="28">
        <f>IFERROR('Project Managers'!E23-'Project Managers'!I23,0)</f>
        <v>346</v>
      </c>
      <c r="Q23" s="29">
        <f>IFERROR(ROUND('Project Managers'!I23/'Project Managers'!E23,4),0)</f>
        <v>0.99990000000000001</v>
      </c>
      <c r="R23" s="29" cm="1">
        <f t="array" ref="R23">IF(ISBLANK('Project Managers'!AP23),IF('Project Managers'!I23&lt;&gt;0,('Project Managers'!I23-'Project Managers'!J23)/'Project Managers'!I23,'Project Managers'!AS23),'Project Managers'!AP23)</f>
        <v>0.19</v>
      </c>
      <c r="S23" s="30">
        <v>0.19</v>
      </c>
      <c r="T23" s="31">
        <v>0.19</v>
      </c>
      <c r="U23" s="28">
        <f>IFERROR(-('Project Managers'!I23-('Project Managers'!J23/(1-'Project Managers'!R23))),0)</f>
        <v>-2794.1471604937688</v>
      </c>
      <c r="V23" s="32">
        <v>-5913.4804937999997</v>
      </c>
      <c r="W23" s="28">
        <f>IFERROR(-('Project Managers'!I23-('Project Managers'!J23/(1-'Project Managers'!T23))),0)</f>
        <v>-2794.1471604937688</v>
      </c>
      <c r="X23" s="29">
        <f>IFERROR(IF('Project Managers'!AQ23="",1,'Project Managers'!AQ23),0)</f>
        <v>1</v>
      </c>
      <c r="Y23" s="30">
        <v>1</v>
      </c>
      <c r="Z23" s="31">
        <v>1</v>
      </c>
      <c r="AA23" s="28">
        <f>IFERROR(IF('Project Managers'!Z23='Project Managers'!Q23,0,(('Project Managers'!Z23*'Project Managers'!E23)-'Project Managers'!I23)),0)</f>
        <v>346</v>
      </c>
      <c r="AB23" s="28">
        <f>IFERROR(IF('Project Managers'!Z23='Project Managers'!Q23,0,('Project Managers'!AA23-('Project Managers'!AA23*'Project Managers'!L23))),0)</f>
        <v>280.06870595337057</v>
      </c>
      <c r="AC23" s="28">
        <f>IFERROR('Project Managers'!AA23-'Project Managers'!AB23,0)</f>
        <v>65.931294046629432</v>
      </c>
      <c r="AD23" s="33">
        <f>IFERROR('Project Managers'!AC23/'Project Managers'!AA23,0)</f>
        <v>0.19055287296713708</v>
      </c>
      <c r="AE23" s="34">
        <f>IFERROR(IF('Project Managers'!Z23&lt;1,1,0),0)</f>
        <v>0</v>
      </c>
      <c r="AF23" s="35">
        <f>IFERROR(IF('Project Managers'!AE23=0,0,('Project Managers'!AE23*'Project Managers'!E23)-'Project Managers'!I23-'Project Managers'!AA23),0)</f>
        <v>0</v>
      </c>
      <c r="AG23" s="35">
        <f>IFERROR(IF('Project Managers'!AE23='Project Managers'!V23,0,('Project Managers'!AF23-('Project Managers'!AF23*'Project Managers'!L23))),0)</f>
        <v>0</v>
      </c>
      <c r="AH23" s="36">
        <f>IFERROR('Project Managers'!AF23-'Project Managers'!AG23,0)</f>
        <v>0</v>
      </c>
      <c r="AI23" s="29">
        <f>IFERROR('Project Managers'!AH23/'Project Managers'!AF23,0)</f>
        <v>0</v>
      </c>
      <c r="AJ23" s="31"/>
      <c r="AK23" s="28">
        <f>IFERROR(IF('Project Managers'!AJ23=0,0,('Project Managers'!AJ23*'Project Managers'!E23)-'Project Managers'!I23-'Project Managers'!AA23-'Project Managers'!AF23),0)</f>
        <v>0</v>
      </c>
      <c r="AL23" s="28">
        <f>IFERROR(IF('Project Managers'!AJ23='Project Managers'!V23,0,('Project Managers'!AK23-('Project Managers'!AK23*'Project Managers'!L23))),0)</f>
        <v>0</v>
      </c>
      <c r="AM23" s="28">
        <f>IFERROR('Project Managers'!AK23-'Project Managers'!AL23,0)</f>
        <v>0</v>
      </c>
      <c r="AN23" s="29">
        <f>IFERROR('Project Managers'!AM23/'Project Managers'!AK23,0)</f>
        <v>0</v>
      </c>
      <c r="AO23" s="37">
        <v>0.17</v>
      </c>
      <c r="AP23" s="37">
        <v>0.19</v>
      </c>
      <c r="AQ23" s="37"/>
      <c r="AR23" s="38"/>
      <c r="AS23" s="39">
        <v>0.22</v>
      </c>
    </row>
    <row r="24" spans="2:45" ht="15" customHeight="1" outlineLevel="1" x14ac:dyDescent="0.2">
      <c r="B24" s="27" t="s">
        <v>70</v>
      </c>
      <c r="C24" s="27" t="s">
        <v>75</v>
      </c>
      <c r="D24" s="27" t="s">
        <v>76</v>
      </c>
      <c r="E24" s="28">
        <v>7230488.54</v>
      </c>
      <c r="F24" s="28">
        <f>IFERROR('Project Managers'!E24*(1-'Project Managers'!H24),0)</f>
        <v>6001305.4881999996</v>
      </c>
      <c r="G24" s="28">
        <f>IFERROR('Project Managers'!E24-'Project Managers'!F24,0)</f>
        <v>1229183.0518000005</v>
      </c>
      <c r="H24" s="29" cm="1">
        <f t="array" ref="H24">IF(ISBLANK('Project Managers'!AO24),'Project Managers'!R24,'Project Managers'!AO24)</f>
        <v>0.17</v>
      </c>
      <c r="I24" s="28">
        <v>5396691.7000000002</v>
      </c>
      <c r="J24" s="28">
        <v>4063773.79</v>
      </c>
      <c r="K24" s="28">
        <f>IFERROR('Project Managers'!I24-'Project Managers'!J24,0)</f>
        <v>1332917.9100000001</v>
      </c>
      <c r="L24" s="29">
        <f>IFERROR('Project Managers'!K24/'Project Managers'!I24,0)</f>
        <v>0.24698796672042617</v>
      </c>
      <c r="M24" s="28">
        <v>6079333.9100000001</v>
      </c>
      <c r="N24" s="28">
        <f>IFERROR(IF('Project Managers'!M24-'Project Managers'!I24&gt;0,'Project Managers'!M24-'Project Managers'!I24,0),0)</f>
        <v>682642.21</v>
      </c>
      <c r="O24" s="28">
        <f>IFERROR(IF('Project Managers'!M24-'Project Managers'!I24&lt;0,'Project Managers'!M24-'Project Managers'!I24,0),0)</f>
        <v>0</v>
      </c>
      <c r="P24" s="28">
        <f>IFERROR('Project Managers'!E24-'Project Managers'!I24,0)</f>
        <v>1833796.8399999999</v>
      </c>
      <c r="Q24" s="29">
        <f>IFERROR(ROUND('Project Managers'!I24/'Project Managers'!E24,4),0)</f>
        <v>0.74639999999999995</v>
      </c>
      <c r="R24" s="29" cm="1">
        <f t="array" ref="R24">IF(ISBLANK('Project Managers'!AP24),IF('Project Managers'!I24&lt;&gt;0,('Project Managers'!I24-'Project Managers'!J24)/'Project Managers'!I24,'Project Managers'!AS24),'Project Managers'!AP24)</f>
        <v>0.33</v>
      </c>
      <c r="S24" s="30">
        <v>0.26</v>
      </c>
      <c r="T24" s="31">
        <v>0.25</v>
      </c>
      <c r="U24" s="28">
        <f>IFERROR(-('Project Managers'!I24-('Project Managers'!J24/(1-'Project Managers'!R24))),0)</f>
        <v>668642.31492537353</v>
      </c>
      <c r="V24" s="32">
        <v>346109.88729729998</v>
      </c>
      <c r="W24" s="28">
        <f>IFERROR(-('Project Managers'!I24-('Project Managers'!J24/(1-'Project Managers'!T24))),0)</f>
        <v>21673.353333333507</v>
      </c>
      <c r="X24" s="29">
        <f>IFERROR(IF('Project Managers'!AQ24="",1,'Project Managers'!AQ24),0)</f>
        <v>1</v>
      </c>
      <c r="Y24" s="30">
        <v>0.97099999999999997</v>
      </c>
      <c r="Z24" s="31">
        <v>0.95</v>
      </c>
      <c r="AA24" s="28">
        <f>IFERROR(IF('Project Managers'!Z24='Project Managers'!Q24,0,(('Project Managers'!Z24*'Project Managers'!E24)-'Project Managers'!I24)),0)</f>
        <v>1472272.4129999997</v>
      </c>
      <c r="AB24" s="28">
        <f>IFERROR(IF('Project Managers'!Z24='Project Managers'!Q24,0,('Project Managers'!AA24-('Project Managers'!AA24*'Project Managers'!L24))),0)</f>
        <v>1108638.8432545543</v>
      </c>
      <c r="AC24" s="28">
        <f>IFERROR('Project Managers'!AA24-'Project Managers'!AB24,0)</f>
        <v>363633.56974544539</v>
      </c>
      <c r="AD24" s="33">
        <f>IFERROR('Project Managers'!AC24/'Project Managers'!AA24,0)</f>
        <v>0.24698796672042611</v>
      </c>
      <c r="AE24" s="34">
        <f>IFERROR(IF('Project Managers'!Z24&lt;1,1,0),0)</f>
        <v>1</v>
      </c>
      <c r="AF24" s="35">
        <f>IFERROR(IF('Project Managers'!AE24=0,0,('Project Managers'!AE24*'Project Managers'!E24)-'Project Managers'!I24-'Project Managers'!AA24),0)</f>
        <v>361524.42700000014</v>
      </c>
      <c r="AG24" s="35">
        <f>IFERROR(IF('Project Managers'!AE24='Project Managers'!V24,0,('Project Managers'!AF24-('Project Managers'!AF24*'Project Managers'!L24))),0)</f>
        <v>272232.24385550298</v>
      </c>
      <c r="AH24" s="36">
        <f>IFERROR('Project Managers'!AF24-'Project Managers'!AG24,0)</f>
        <v>89292.183144497161</v>
      </c>
      <c r="AI24" s="29">
        <f>IFERROR('Project Managers'!AH24/'Project Managers'!AF24,0)</f>
        <v>0.24698796672042614</v>
      </c>
      <c r="AJ24" s="31"/>
      <c r="AK24" s="28">
        <f>IFERROR(IF('Project Managers'!AJ24=0,0,('Project Managers'!AJ24*'Project Managers'!E24)-'Project Managers'!I24-'Project Managers'!AA24-'Project Managers'!AF24),0)</f>
        <v>0</v>
      </c>
      <c r="AL24" s="28">
        <f>IFERROR(IF('Project Managers'!AJ24='Project Managers'!V24,0,('Project Managers'!AK24-('Project Managers'!AK24*'Project Managers'!L24))),0)</f>
        <v>0</v>
      </c>
      <c r="AM24" s="28">
        <f>IFERROR('Project Managers'!AK24-'Project Managers'!AL24,0)</f>
        <v>0</v>
      </c>
      <c r="AN24" s="29">
        <f>IFERROR('Project Managers'!AM24/'Project Managers'!AK24,0)</f>
        <v>0</v>
      </c>
      <c r="AO24" s="37">
        <v>0.17</v>
      </c>
      <c r="AP24" s="37">
        <v>0.33</v>
      </c>
      <c r="AQ24" s="37"/>
      <c r="AR24" s="38"/>
      <c r="AS24" s="39">
        <v>0.24099999999999999</v>
      </c>
    </row>
    <row r="25" spans="2:45" ht="15" customHeight="1" outlineLevel="1" x14ac:dyDescent="0.2">
      <c r="B25" s="27" t="s">
        <v>70</v>
      </c>
      <c r="C25" s="27" t="s">
        <v>77</v>
      </c>
      <c r="D25" s="27" t="s">
        <v>78</v>
      </c>
      <c r="E25" s="28">
        <v>3751721</v>
      </c>
      <c r="F25" s="28">
        <f>IFERROR('Project Managers'!E25*(1-'Project Managers'!H25),0)</f>
        <v>3100595.8857500078</v>
      </c>
      <c r="G25" s="28">
        <f>IFERROR('Project Managers'!E25-'Project Managers'!F25,0)</f>
        <v>651125.11424999218</v>
      </c>
      <c r="H25" s="29" cm="1">
        <f t="array" ref="H25">IF(ISBLANK('Project Managers'!AO25),'Project Managers'!R25,'Project Managers'!AO25)</f>
        <v>0.17355371421542062</v>
      </c>
      <c r="I25" s="28">
        <v>1327737.07</v>
      </c>
      <c r="J25" s="28">
        <v>1097303.3700000001</v>
      </c>
      <c r="K25" s="28">
        <f>IFERROR('Project Managers'!I25-'Project Managers'!J25,0)</f>
        <v>230433.69999999995</v>
      </c>
      <c r="L25" s="29">
        <f>IFERROR('Project Managers'!K25/'Project Managers'!I25,0)</f>
        <v>0.17355371421542062</v>
      </c>
      <c r="M25" s="28">
        <v>1172929</v>
      </c>
      <c r="N25" s="28">
        <f>IFERROR(IF('Project Managers'!M25-'Project Managers'!I25&gt;0,'Project Managers'!M25-'Project Managers'!I25,0),0)</f>
        <v>0</v>
      </c>
      <c r="O25" s="28">
        <f>IFERROR(IF('Project Managers'!M25-'Project Managers'!I25&lt;0,'Project Managers'!M25-'Project Managers'!I25,0),0)</f>
        <v>-154808.07000000007</v>
      </c>
      <c r="P25" s="28">
        <f>IFERROR('Project Managers'!E25-'Project Managers'!I25,0)</f>
        <v>2423983.9299999997</v>
      </c>
      <c r="Q25" s="29">
        <f>IFERROR(ROUND('Project Managers'!I25/'Project Managers'!E25,4),0)</f>
        <v>0.35389999999999999</v>
      </c>
      <c r="R25" s="29">
        <f>IF(ISBLANK('Project Managers'!AP25),IF('Project Managers'!I25&lt;&gt;0,('Project Managers'!I25-'Project Managers'!J25)/'Project Managers'!I25,'Project Managers'!AS25),'Project Managers'!AP25)</f>
        <v>0.17355371421542062</v>
      </c>
      <c r="S25" s="30">
        <v>0.17</v>
      </c>
      <c r="T25" s="31">
        <v>0.17</v>
      </c>
      <c r="U25" s="28">
        <f>IFERROR(-('Project Managers'!I25-('Project Managers'!J25/(1-'Project Managers'!R25))),0)</f>
        <v>0</v>
      </c>
      <c r="V25" s="32">
        <v>-5191.8274699000003</v>
      </c>
      <c r="W25" s="28">
        <f>IFERROR(-('Project Managers'!I25-('Project Managers'!J25/(1-'Project Managers'!T25))),0)</f>
        <v>-5684.8169879517518</v>
      </c>
      <c r="X25" s="29">
        <f>IFERROR(IF('Project Managers'!AQ25="",1,'Project Managers'!AQ25),0)</f>
        <v>1</v>
      </c>
      <c r="Y25" s="30">
        <v>0.5262</v>
      </c>
      <c r="Z25" s="31">
        <v>0.4</v>
      </c>
      <c r="AA25" s="28">
        <f>IFERROR(IF('Project Managers'!Z25='Project Managers'!Q25,0,(('Project Managers'!Z25*'Project Managers'!E25)-'Project Managers'!I25)),0)</f>
        <v>172951.33000000007</v>
      </c>
      <c r="AB25" s="28">
        <f>IFERROR(IF('Project Managers'!Z25='Project Managers'!Q25,0,('Project Managers'!AA25-('Project Managers'!AA25*'Project Managers'!L25))),0)</f>
        <v>142934.98430000315</v>
      </c>
      <c r="AC25" s="28">
        <f>IFERROR('Project Managers'!AA25-'Project Managers'!AB25,0)</f>
        <v>30016.34569999692</v>
      </c>
      <c r="AD25" s="33">
        <f>IFERROR('Project Managers'!AC25/'Project Managers'!AA25,0)</f>
        <v>0.17355371421542065</v>
      </c>
      <c r="AE25" s="34">
        <f>IFERROR(IF('Project Managers'!Z25&lt;1,1,0),0)</f>
        <v>1</v>
      </c>
      <c r="AF25" s="35">
        <f>IFERROR(IF('Project Managers'!AE25=0,0,('Project Managers'!AE25*'Project Managers'!E25)-'Project Managers'!I25-'Project Managers'!AA25),0)</f>
        <v>2251032.5999999996</v>
      </c>
      <c r="AG25" s="35">
        <f>IFERROR(IF('Project Managers'!AE25='Project Managers'!V25,0,('Project Managers'!AF25-('Project Managers'!AF25*'Project Managers'!L25))),0)</f>
        <v>1860357.5314500043</v>
      </c>
      <c r="AH25" s="36">
        <f>IFERROR('Project Managers'!AF25-'Project Managers'!AG25,0)</f>
        <v>390675.06854999531</v>
      </c>
      <c r="AI25" s="29">
        <f>IFERROR('Project Managers'!AH25/'Project Managers'!AF25,0)</f>
        <v>0.17355371421542068</v>
      </c>
      <c r="AJ25" s="31"/>
      <c r="AK25" s="28">
        <f>IFERROR(IF('Project Managers'!AJ25=0,0,('Project Managers'!AJ25*'Project Managers'!E25)-'Project Managers'!I25-'Project Managers'!AA25-'Project Managers'!AF25),0)</f>
        <v>0</v>
      </c>
      <c r="AL25" s="28">
        <f>IFERROR(IF('Project Managers'!AJ25='Project Managers'!V25,0,('Project Managers'!AK25-('Project Managers'!AK25*'Project Managers'!L25))),0)</f>
        <v>0</v>
      </c>
      <c r="AM25" s="28">
        <f>IFERROR('Project Managers'!AK25-'Project Managers'!AL25,0)</f>
        <v>0</v>
      </c>
      <c r="AN25" s="29">
        <f>IFERROR('Project Managers'!AM25/'Project Managers'!AK25,0)</f>
        <v>0</v>
      </c>
      <c r="AO25" s="37"/>
      <c r="AP25" s="37"/>
      <c r="AQ25" s="37"/>
      <c r="AR25" s="38"/>
      <c r="AS25" s="39">
        <v>0.17399999999999999</v>
      </c>
    </row>
    <row r="26" spans="2:45" ht="15" customHeight="1" x14ac:dyDescent="0.2">
      <c r="B26" s="41" t="s">
        <v>79</v>
      </c>
      <c r="C26" s="42" t="s">
        <v>55</v>
      </c>
      <c r="D26" s="41" t="s">
        <v>55</v>
      </c>
      <c r="E26" s="43">
        <f t="shared" ref="E26:AM26" si="2">SUBTOTAL(9,E22:E25)</f>
        <v>16561085.67</v>
      </c>
      <c r="F26" s="44">
        <f t="shared" si="2"/>
        <v>13658123.721350007</v>
      </c>
      <c r="G26" s="43">
        <f t="shared" si="2"/>
        <v>2902961.9486499927</v>
      </c>
      <c r="H26" s="45" t="str" cm="1">
        <f t="array" ref="H26">IF(ISBLANK('Project Managers'!AO26),'Project Managers'!R26,'Project Managers'!AO26)</f>
        <v>-</v>
      </c>
      <c r="I26" s="43">
        <f t="shared" si="2"/>
        <v>12302958.9</v>
      </c>
      <c r="J26" s="43">
        <f t="shared" si="2"/>
        <v>9940457.2400000021</v>
      </c>
      <c r="K26" s="43">
        <f t="shared" si="2"/>
        <v>2362501.66</v>
      </c>
      <c r="L26" s="45">
        <f>IFERROR('Project Managers'!K26/'Project Managers'!I26,0)</f>
        <v>0.19202711146178014</v>
      </c>
      <c r="M26" s="43">
        <f t="shared" si="2"/>
        <v>12830793.039999999</v>
      </c>
      <c r="N26" s="43">
        <f t="shared" si="2"/>
        <v>682642.21</v>
      </c>
      <c r="O26" s="43">
        <f t="shared" si="2"/>
        <v>-154808.07000000007</v>
      </c>
      <c r="P26" s="43">
        <f t="shared" si="2"/>
        <v>4258126.7699999996</v>
      </c>
      <c r="Q26" s="45">
        <f>IFERROR(ROUND('Project Managers'!I26/'Project Managers'!E26,4),0)</f>
        <v>0.7429</v>
      </c>
      <c r="R26" s="45" t="s">
        <v>55</v>
      </c>
      <c r="S26" s="46" t="s">
        <v>55</v>
      </c>
      <c r="T26" s="47" t="s">
        <v>55</v>
      </c>
      <c r="U26" s="43">
        <f t="shared" si="2"/>
        <v>723899.09460698511</v>
      </c>
      <c r="V26" s="48">
        <f t="shared" si="2"/>
        <v>341075.31515839999</v>
      </c>
      <c r="W26" s="43">
        <f t="shared" si="2"/>
        <v>8903.9933263021521</v>
      </c>
      <c r="X26" s="45" t="s">
        <v>55</v>
      </c>
      <c r="Y26" s="46" t="s">
        <v>55</v>
      </c>
      <c r="Z26" s="47" t="s">
        <v>55</v>
      </c>
      <c r="AA26" s="43">
        <f t="shared" si="2"/>
        <v>1645569.7429999998</v>
      </c>
      <c r="AB26" s="43">
        <f t="shared" si="2"/>
        <v>1251853.8962605109</v>
      </c>
      <c r="AC26" s="43">
        <f>IFERROR('Project Managers'!AA26-'Project Managers'!AB26,0)</f>
        <v>393715.84673948889</v>
      </c>
      <c r="AD26" s="49">
        <f>IFERROR('Project Managers'!AC26/'Project Managers'!AA26,0)</f>
        <v>0.23925807363333912</v>
      </c>
      <c r="AE26" s="50">
        <f>IFERROR(IF('Project Managers'!Z26&lt;1,1,0),0)</f>
        <v>0</v>
      </c>
      <c r="AF26" s="51">
        <f t="shared" si="2"/>
        <v>2612557.0269999998</v>
      </c>
      <c r="AG26" s="51">
        <f t="shared" si="2"/>
        <v>2132589.7753055072</v>
      </c>
      <c r="AH26" s="52">
        <f t="shared" si="2"/>
        <v>479967.25169449247</v>
      </c>
      <c r="AI26" s="45">
        <f>IFERROR('Project Managers'!AH26/'Project Managers'!AF26,0)</f>
        <v>0.18371551194258104</v>
      </c>
      <c r="AJ26" s="53" t="s">
        <v>55</v>
      </c>
      <c r="AK26" s="43">
        <f t="shared" si="2"/>
        <v>0</v>
      </c>
      <c r="AL26" s="43">
        <f t="shared" si="2"/>
        <v>0</v>
      </c>
      <c r="AM26" s="43">
        <f t="shared" si="2"/>
        <v>0</v>
      </c>
      <c r="AN26" s="45">
        <f>IFERROR('Project Managers'!AM26/'Project Managers'!AK26,0)</f>
        <v>0</v>
      </c>
      <c r="AO26" s="54" t="s">
        <v>55</v>
      </c>
      <c r="AP26" s="54" t="s">
        <v>55</v>
      </c>
      <c r="AQ26" s="54" t="s">
        <v>55</v>
      </c>
      <c r="AR26" s="55" t="s">
        <v>55</v>
      </c>
      <c r="AS26" s="6" t="s">
        <v>55</v>
      </c>
    </row>
    <row r="27" spans="2:45" ht="15" customHeight="1" outlineLevel="1" x14ac:dyDescent="0.2">
      <c r="B27" s="27" t="s">
        <v>80</v>
      </c>
      <c r="C27" s="27" t="s">
        <v>81</v>
      </c>
      <c r="D27" s="27" t="s">
        <v>82</v>
      </c>
      <c r="E27" s="28">
        <v>13617357</v>
      </c>
      <c r="F27" s="28">
        <f>IFERROR('Project Managers'!E27*(1-'Project Managers'!H27),0)</f>
        <v>11438579.879999999</v>
      </c>
      <c r="G27" s="28">
        <f>IFERROR('Project Managers'!E27-'Project Managers'!F27,0)</f>
        <v>2178777.120000001</v>
      </c>
      <c r="H27" s="29" cm="1">
        <f t="array" ref="H27">IF(ISBLANK('Project Managers'!AO27),'Project Managers'!R27,'Project Managers'!AO27)</f>
        <v>0.16</v>
      </c>
      <c r="I27" s="28">
        <v>13617357</v>
      </c>
      <c r="J27" s="28">
        <v>12370709.689999999</v>
      </c>
      <c r="K27" s="28">
        <f>IFERROR('Project Managers'!I27-'Project Managers'!J27,0)</f>
        <v>1246647.3100000005</v>
      </c>
      <c r="L27" s="29">
        <f>IFERROR('Project Managers'!K27/'Project Managers'!I27,0)</f>
        <v>9.1548404730815283E-2</v>
      </c>
      <c r="M27" s="28">
        <v>13617357</v>
      </c>
      <c r="N27" s="28">
        <f>IFERROR(IF('Project Managers'!M27-'Project Managers'!I27&gt;0,'Project Managers'!M27-'Project Managers'!I27,0),0)</f>
        <v>0</v>
      </c>
      <c r="O27" s="28">
        <f>IFERROR(IF('Project Managers'!M27-'Project Managers'!I27&lt;0,'Project Managers'!M27-'Project Managers'!I27,0),0)</f>
        <v>0</v>
      </c>
      <c r="P27" s="28">
        <f>IFERROR('Project Managers'!E27-'Project Managers'!I27,0)</f>
        <v>0</v>
      </c>
      <c r="Q27" s="29">
        <f>IFERROR(ROUND('Project Managers'!I27/'Project Managers'!E27,4),0)</f>
        <v>1</v>
      </c>
      <c r="R27" s="29" cm="1">
        <f t="array" ref="R27">IF(ISBLANK('Project Managers'!AP27),IF('Project Managers'!I27&lt;&gt;0,('Project Managers'!I27-'Project Managers'!J27)/'Project Managers'!I27,'Project Managers'!AS27),'Project Managers'!AP27)</f>
        <v>0.23</v>
      </c>
      <c r="S27" s="30">
        <v>0.09</v>
      </c>
      <c r="T27" s="31">
        <v>8.5000000000000006E-2</v>
      </c>
      <c r="U27" s="28">
        <f>IFERROR(-('Project Managers'!I27-('Project Managers'!J27/(1-'Project Managers'!R27))),0)</f>
        <v>2448499.7402597386</v>
      </c>
      <c r="V27" s="32">
        <v>-143371.432967</v>
      </c>
      <c r="W27" s="28">
        <f>IFERROR(-('Project Managers'!I27-('Project Managers'!J27/(1-'Project Managers'!T27))),0)</f>
        <v>-97455.699453553185</v>
      </c>
      <c r="X27" s="29">
        <f>IFERROR(IF('Project Managers'!AQ27="",1,'Project Managers'!AQ27),0)</f>
        <v>1</v>
      </c>
      <c r="Y27" s="30">
        <v>1</v>
      </c>
      <c r="Z27" s="31">
        <v>1</v>
      </c>
      <c r="AA27" s="28">
        <f>IFERROR(IF('Project Managers'!Z27='Project Managers'!Q27,0,(('Project Managers'!Z27*'Project Managers'!E27)-'Project Managers'!I27)),0)</f>
        <v>0</v>
      </c>
      <c r="AB27" s="28">
        <f>IFERROR(IF('Project Managers'!Z27='Project Managers'!Q27,0,('Project Managers'!AA27-('Project Managers'!AA27*'Project Managers'!L27))),0)</f>
        <v>0</v>
      </c>
      <c r="AC27" s="28">
        <f>IFERROR('Project Managers'!AA27-'Project Managers'!AB27,0)</f>
        <v>0</v>
      </c>
      <c r="AD27" s="33">
        <f>IFERROR('Project Managers'!AC27/'Project Managers'!AA27,0)</f>
        <v>0</v>
      </c>
      <c r="AE27" s="34">
        <f>IFERROR(IF('Project Managers'!Z27&lt;1,1,0),0)</f>
        <v>0</v>
      </c>
      <c r="AF27" s="35">
        <f>IFERROR(IF('Project Managers'!AE27=0,0,('Project Managers'!AE27*'Project Managers'!E27)-'Project Managers'!I27-'Project Managers'!AA27),0)</f>
        <v>0</v>
      </c>
      <c r="AG27" s="35">
        <f>IFERROR(IF('Project Managers'!AE27='Project Managers'!V27,0,('Project Managers'!AF27-('Project Managers'!AF27*'Project Managers'!L27))),0)</f>
        <v>0</v>
      </c>
      <c r="AH27" s="36">
        <f>IFERROR('Project Managers'!AF27-'Project Managers'!AG27,0)</f>
        <v>0</v>
      </c>
      <c r="AI27" s="29">
        <f>IFERROR('Project Managers'!AH27/'Project Managers'!AF27,0)</f>
        <v>0</v>
      </c>
      <c r="AJ27" s="31"/>
      <c r="AK27" s="28">
        <f>IFERROR(IF('Project Managers'!AJ27=0,0,('Project Managers'!AJ27*'Project Managers'!E27)-'Project Managers'!I27-'Project Managers'!AA27-'Project Managers'!AF27),0)</f>
        <v>0</v>
      </c>
      <c r="AL27" s="28">
        <f>IFERROR(IF('Project Managers'!AJ27='Project Managers'!V27,0,('Project Managers'!AK27-('Project Managers'!AK27*'Project Managers'!L27))),0)</f>
        <v>0</v>
      </c>
      <c r="AM27" s="28">
        <f>IFERROR('Project Managers'!AK27-'Project Managers'!AL27,0)</f>
        <v>0</v>
      </c>
      <c r="AN27" s="29">
        <f>IFERROR('Project Managers'!AM27/'Project Managers'!AK27,0)</f>
        <v>0</v>
      </c>
      <c r="AO27" s="37">
        <v>0.16</v>
      </c>
      <c r="AP27" s="37">
        <v>0.23</v>
      </c>
      <c r="AQ27" s="37"/>
      <c r="AR27" s="38"/>
      <c r="AS27" s="39">
        <v>0.1</v>
      </c>
    </row>
    <row r="28" spans="2:45" ht="15" customHeight="1" outlineLevel="1" x14ac:dyDescent="0.2">
      <c r="B28" s="27" t="s">
        <v>80</v>
      </c>
      <c r="C28" s="27" t="s">
        <v>83</v>
      </c>
      <c r="D28" s="27" t="s">
        <v>84</v>
      </c>
      <c r="E28" s="28">
        <v>1188326</v>
      </c>
      <c r="F28" s="28">
        <f>IFERROR('Project Managers'!E28*(1-'Project Managers'!H28),0)</f>
        <v>986310.58</v>
      </c>
      <c r="G28" s="28">
        <f>IFERROR('Project Managers'!E28-'Project Managers'!F28,0)</f>
        <v>202015.42000000004</v>
      </c>
      <c r="H28" s="29" cm="1">
        <f t="array" ref="H28">IF(ISBLANK('Project Managers'!AO28),'Project Managers'!R28,'Project Managers'!AO28)</f>
        <v>0.17</v>
      </c>
      <c r="I28" s="28">
        <v>364066.55</v>
      </c>
      <c r="J28" s="28">
        <v>316579.52</v>
      </c>
      <c r="K28" s="28">
        <f>IFERROR('Project Managers'!I28-'Project Managers'!J28,0)</f>
        <v>47487.02999999997</v>
      </c>
      <c r="L28" s="29">
        <f>IFERROR('Project Managers'!K28/'Project Managers'!I28,0)</f>
        <v>0.13043502623352782</v>
      </c>
      <c r="M28" s="28">
        <v>259600</v>
      </c>
      <c r="N28" s="28">
        <f>IFERROR(IF('Project Managers'!M28-'Project Managers'!I28&gt;0,'Project Managers'!M28-'Project Managers'!I28,0),0)</f>
        <v>0</v>
      </c>
      <c r="O28" s="28">
        <f>IFERROR(IF('Project Managers'!M28-'Project Managers'!I28&lt;0,'Project Managers'!M28-'Project Managers'!I28,0),0)</f>
        <v>-104466.54999999999</v>
      </c>
      <c r="P28" s="28">
        <f>IFERROR('Project Managers'!E28-'Project Managers'!I28,0)</f>
        <v>824259.45</v>
      </c>
      <c r="Q28" s="29">
        <f>IFERROR(ROUND('Project Managers'!I28/'Project Managers'!E28,4),0)</f>
        <v>0.30640000000000001</v>
      </c>
      <c r="R28" s="29" cm="1">
        <f t="array" ref="R28">IF(ISBLANK('Project Managers'!AP28),IF('Project Managers'!I28&lt;&gt;0,('Project Managers'!I28-'Project Managers'!J28)/'Project Managers'!I28,'Project Managers'!AS28),'Project Managers'!AP28)</f>
        <v>0.18</v>
      </c>
      <c r="S28" s="30">
        <v>0.12</v>
      </c>
      <c r="T28" s="31">
        <v>0.13</v>
      </c>
      <c r="U28" s="28">
        <f>IFERROR(-('Project Managers'!I28-('Project Managers'!J28/(1-'Project Managers'!R28))),0)</f>
        <v>22006.035365853691</v>
      </c>
      <c r="V28" s="32">
        <v>-3314.9436363999998</v>
      </c>
      <c r="W28" s="28">
        <f>IFERROR(-('Project Managers'!I28-('Project Managers'!J28/(1-'Project Managers'!T28))),0)</f>
        <v>-182.04425287351478</v>
      </c>
      <c r="X28" s="29">
        <f>IFERROR(IF('Project Managers'!AQ28="",1,'Project Managers'!AQ28),0)</f>
        <v>1</v>
      </c>
      <c r="Y28" s="30">
        <v>0.4647</v>
      </c>
      <c r="Z28" s="31">
        <v>0.3</v>
      </c>
      <c r="AA28" s="28">
        <f>IFERROR(IF('Project Managers'!Z28='Project Managers'!Q28,0,(('Project Managers'!Z28*'Project Managers'!E28)-'Project Managers'!I28)),0)</f>
        <v>-7568.75</v>
      </c>
      <c r="AB28" s="28">
        <f>IFERROR(IF('Project Managers'!Z28='Project Managers'!Q28,0,('Project Managers'!AA28-('Project Managers'!AA28*'Project Managers'!L28))),0)</f>
        <v>-6581.519895194986</v>
      </c>
      <c r="AC28" s="28">
        <f>IFERROR('Project Managers'!AA28-'Project Managers'!AB28,0)</f>
        <v>-987.23010480501398</v>
      </c>
      <c r="AD28" s="33">
        <f>IFERROR('Project Managers'!AC28/'Project Managers'!AA28,0)</f>
        <v>0.13043502623352785</v>
      </c>
      <c r="AE28" s="34">
        <f>IFERROR(IF('Project Managers'!Z28&lt;1,1,0),0)</f>
        <v>1</v>
      </c>
      <c r="AF28" s="35">
        <f>IFERROR(IF('Project Managers'!AE28=0,0,('Project Managers'!AE28*'Project Managers'!E28)-'Project Managers'!I28-'Project Managers'!AA28),0)</f>
        <v>831828.2</v>
      </c>
      <c r="AG28" s="35">
        <f>IFERROR(IF('Project Managers'!AE28='Project Managers'!V28,0,('Project Managers'!AF28-('Project Managers'!AF28*'Project Managers'!L28))),0)</f>
        <v>723328.6669112118</v>
      </c>
      <c r="AH28" s="36">
        <f>IFERROR('Project Managers'!AF28-'Project Managers'!AG28,0)</f>
        <v>108499.53308878816</v>
      </c>
      <c r="AI28" s="29">
        <f>IFERROR('Project Managers'!AH28/'Project Managers'!AF28,0)</f>
        <v>0.13043502623352773</v>
      </c>
      <c r="AJ28" s="31"/>
      <c r="AK28" s="28">
        <f>IFERROR(IF('Project Managers'!AJ28=0,0,('Project Managers'!AJ28*'Project Managers'!E28)-'Project Managers'!I28-'Project Managers'!AA28-'Project Managers'!AF28),0)</f>
        <v>0</v>
      </c>
      <c r="AL28" s="28">
        <f>IFERROR(IF('Project Managers'!AJ28='Project Managers'!V28,0,('Project Managers'!AK28-('Project Managers'!AK28*'Project Managers'!L28))),0)</f>
        <v>0</v>
      </c>
      <c r="AM28" s="28">
        <f>IFERROR('Project Managers'!AK28-'Project Managers'!AL28,0)</f>
        <v>0</v>
      </c>
      <c r="AN28" s="29">
        <f>IFERROR('Project Managers'!AM28/'Project Managers'!AK28,0)</f>
        <v>0</v>
      </c>
      <c r="AO28" s="37">
        <v>0.17</v>
      </c>
      <c r="AP28" s="37">
        <v>0.18</v>
      </c>
      <c r="AQ28" s="37"/>
      <c r="AR28" s="38"/>
      <c r="AS28" s="39">
        <v>0.13</v>
      </c>
    </row>
    <row r="29" spans="2:45" ht="15" customHeight="1" outlineLevel="1" x14ac:dyDescent="0.2">
      <c r="B29" s="27" t="s">
        <v>80</v>
      </c>
      <c r="C29" s="27" t="s">
        <v>85</v>
      </c>
      <c r="D29" s="27" t="s">
        <v>86</v>
      </c>
      <c r="E29" s="28">
        <v>585596.97</v>
      </c>
      <c r="F29" s="28">
        <f>IFERROR('Project Managers'!E29*(1-'Project Managers'!H29),0)</f>
        <v>485972.57480531622</v>
      </c>
      <c r="G29" s="28">
        <f>IFERROR('Project Managers'!E29-'Project Managers'!F29,0)</f>
        <v>99624.395194683748</v>
      </c>
      <c r="H29" s="29" cm="1">
        <f t="array" ref="H29">IF(ISBLANK('Project Managers'!AO29),'Project Managers'!R29,'Project Managers'!AO29)</f>
        <v>0.1701245059288537</v>
      </c>
      <c r="I29" s="28">
        <v>177100</v>
      </c>
      <c r="J29" s="28">
        <v>146970.95000000001</v>
      </c>
      <c r="K29" s="28">
        <f>IFERROR('Project Managers'!I29-'Project Managers'!J29,0)</f>
        <v>30129.049999999988</v>
      </c>
      <c r="L29" s="29">
        <f>IFERROR('Project Managers'!K29/'Project Managers'!I29,0)</f>
        <v>0.1701245059288537</v>
      </c>
      <c r="M29" s="28">
        <v>398194.97</v>
      </c>
      <c r="N29" s="28">
        <f>IFERROR(IF('Project Managers'!M29-'Project Managers'!I29&gt;0,'Project Managers'!M29-'Project Managers'!I29,0),0)</f>
        <v>221094.96999999997</v>
      </c>
      <c r="O29" s="28">
        <f>IFERROR(IF('Project Managers'!M29-'Project Managers'!I29&lt;0,'Project Managers'!M29-'Project Managers'!I29,0),0)</f>
        <v>0</v>
      </c>
      <c r="P29" s="28">
        <f>IFERROR('Project Managers'!E29-'Project Managers'!I29,0)</f>
        <v>408496.97</v>
      </c>
      <c r="Q29" s="29">
        <f>IFERROR(ROUND('Project Managers'!I29/'Project Managers'!E29,4),0)</f>
        <v>0.3024</v>
      </c>
      <c r="R29" s="29">
        <f>IF(ISBLANK('Project Managers'!AP29),IF('Project Managers'!I29&lt;&gt;0,('Project Managers'!I29-'Project Managers'!J29)/'Project Managers'!I29,'Project Managers'!AS29),'Project Managers'!AP29)</f>
        <v>0.1701245059288537</v>
      </c>
      <c r="S29" s="30">
        <v>0.17</v>
      </c>
      <c r="T29" s="31">
        <v>0.17</v>
      </c>
      <c r="U29" s="28">
        <f>IFERROR(-('Project Managers'!I29-('Project Managers'!J29/(1-'Project Managers'!R29))),0)</f>
        <v>0</v>
      </c>
      <c r="V29" s="32">
        <v>-25.994337300000002</v>
      </c>
      <c r="W29" s="28">
        <f>IFERROR(-('Project Managers'!I29-('Project Managers'!J29/(1-'Project Managers'!T29))),0)</f>
        <v>-26.56626506021712</v>
      </c>
      <c r="X29" s="29">
        <f>IFERROR(IF('Project Managers'!AQ29="",1,'Project Managers'!AQ29),0)</f>
        <v>1</v>
      </c>
      <c r="Y29" s="30">
        <v>0.64800000000000002</v>
      </c>
      <c r="Z29" s="31">
        <v>0.9</v>
      </c>
      <c r="AA29" s="28">
        <f>IFERROR(IF('Project Managers'!Z29='Project Managers'!Q29,0,(('Project Managers'!Z29*'Project Managers'!E29)-'Project Managers'!I29)),0)</f>
        <v>349937.27300000004</v>
      </c>
      <c r="AB29" s="28">
        <f>IFERROR(IF('Project Managers'!Z29='Project Managers'!Q29,0,('Project Managers'!AA29-('Project Managers'!AA29*'Project Managers'!L29))),0)</f>
        <v>290404.36732478463</v>
      </c>
      <c r="AC29" s="28">
        <f>IFERROR('Project Managers'!AA29-'Project Managers'!AB29,0)</f>
        <v>59532.905675215414</v>
      </c>
      <c r="AD29" s="33">
        <f>IFERROR('Project Managers'!AC29/'Project Managers'!AA29,0)</f>
        <v>0.17012450592885373</v>
      </c>
      <c r="AE29" s="34">
        <f>IFERROR(IF('Project Managers'!Z29&lt;1,1,0),0)</f>
        <v>1</v>
      </c>
      <c r="AF29" s="35">
        <f>IFERROR(IF('Project Managers'!AE29=0,0,('Project Managers'!AE29*'Project Managers'!E29)-'Project Managers'!I29-'Project Managers'!AA29),0)</f>
        <v>58559.696999999927</v>
      </c>
      <c r="AG29" s="35">
        <f>IFERROR(IF('Project Managers'!AE29='Project Managers'!V29,0,('Project Managers'!AF29-('Project Managers'!AF29*'Project Managers'!L29))),0)</f>
        <v>48597.257480531567</v>
      </c>
      <c r="AH29" s="36">
        <f>IFERROR('Project Managers'!AF29-'Project Managers'!AG29,0)</f>
        <v>9962.4395194683602</v>
      </c>
      <c r="AI29" s="29">
        <f>IFERROR('Project Managers'!AH29/'Project Managers'!AF29,0)</f>
        <v>0.17012450592885364</v>
      </c>
      <c r="AJ29" s="31"/>
      <c r="AK29" s="28">
        <f>IFERROR(IF('Project Managers'!AJ29=0,0,('Project Managers'!AJ29*'Project Managers'!E29)-'Project Managers'!I29-'Project Managers'!AA29-'Project Managers'!AF29),0)</f>
        <v>0</v>
      </c>
      <c r="AL29" s="28">
        <f>IFERROR(IF('Project Managers'!AJ29='Project Managers'!V29,0,('Project Managers'!AK29-('Project Managers'!AK29*'Project Managers'!L29))),0)</f>
        <v>0</v>
      </c>
      <c r="AM29" s="28">
        <f>IFERROR('Project Managers'!AK29-'Project Managers'!AL29,0)</f>
        <v>0</v>
      </c>
      <c r="AN29" s="29">
        <f>IFERROR('Project Managers'!AM29/'Project Managers'!AK29,0)</f>
        <v>0</v>
      </c>
      <c r="AO29" s="37"/>
      <c r="AP29" s="37"/>
      <c r="AQ29" s="37"/>
      <c r="AR29" s="38"/>
      <c r="AS29" s="39">
        <v>0.17</v>
      </c>
    </row>
    <row r="30" spans="2:45" ht="15" customHeight="1" x14ac:dyDescent="0.2">
      <c r="B30" s="41" t="s">
        <v>87</v>
      </c>
      <c r="C30" s="42" t="s">
        <v>55</v>
      </c>
      <c r="D30" s="41" t="s">
        <v>55</v>
      </c>
      <c r="E30" s="43">
        <f t="shared" si="1"/>
        <v>15391279.970000001</v>
      </c>
      <c r="F30" s="44">
        <f t="shared" si="1"/>
        <v>12910863.034805315</v>
      </c>
      <c r="G30" s="43">
        <f t="shared" si="1"/>
        <v>2480416.9351946847</v>
      </c>
      <c r="H30" s="45" t="str" cm="1">
        <f t="array" ref="H30">IF(ISBLANK('Project Managers'!AO30),'Project Managers'!R30,'Project Managers'!AO30)</f>
        <v>-</v>
      </c>
      <c r="I30" s="43">
        <f t="shared" si="1"/>
        <v>14158523.550000001</v>
      </c>
      <c r="J30" s="43">
        <f t="shared" si="1"/>
        <v>12834260.159999998</v>
      </c>
      <c r="K30" s="43">
        <f t="shared" si="1"/>
        <v>1324263.3900000006</v>
      </c>
      <c r="L30" s="45">
        <f>IFERROR('Project Managers'!K30/'Project Managers'!I30,0)</f>
        <v>9.3531178256224354E-2</v>
      </c>
      <c r="M30" s="43">
        <f t="shared" si="1"/>
        <v>14275151.970000001</v>
      </c>
      <c r="N30" s="43">
        <f t="shared" si="1"/>
        <v>221094.96999999997</v>
      </c>
      <c r="O30" s="43">
        <f t="shared" si="1"/>
        <v>-104466.54999999999</v>
      </c>
      <c r="P30" s="43">
        <f t="shared" si="1"/>
        <v>1232756.42</v>
      </c>
      <c r="Q30" s="45">
        <f>IFERROR(ROUND('Project Managers'!I30/'Project Managers'!E30,4),0)</f>
        <v>0.91990000000000005</v>
      </c>
      <c r="R30" s="45" t="s">
        <v>55</v>
      </c>
      <c r="S30" s="46" t="s">
        <v>55</v>
      </c>
      <c r="T30" s="47" t="s">
        <v>55</v>
      </c>
      <c r="U30" s="43">
        <f t="shared" si="1"/>
        <v>2470505.7756255921</v>
      </c>
      <c r="V30" s="48">
        <f t="shared" si="1"/>
        <v>-146712.37094070003</v>
      </c>
      <c r="W30" s="43">
        <f t="shared" si="1"/>
        <v>-97664.309971486917</v>
      </c>
      <c r="X30" s="45" t="s">
        <v>55</v>
      </c>
      <c r="Y30" s="46" t="s">
        <v>55</v>
      </c>
      <c r="Z30" s="47" t="s">
        <v>55</v>
      </c>
      <c r="AA30" s="43">
        <f t="shared" si="1"/>
        <v>342368.52300000004</v>
      </c>
      <c r="AB30" s="43">
        <f t="shared" si="1"/>
        <v>283822.84742958966</v>
      </c>
      <c r="AC30" s="43">
        <f>IFERROR('Project Managers'!AA30-'Project Managers'!AB30,0)</f>
        <v>58545.675570410385</v>
      </c>
      <c r="AD30" s="49">
        <f>IFERROR('Project Managers'!AC30/'Project Managers'!AA30,0)</f>
        <v>0.17100192230700595</v>
      </c>
      <c r="AE30" s="50">
        <f>IFERROR(IF('Project Managers'!Z30&lt;1,1,0),0)</f>
        <v>0</v>
      </c>
      <c r="AF30" s="51">
        <f t="shared" si="1"/>
        <v>890387.89699999988</v>
      </c>
      <c r="AG30" s="51">
        <f t="shared" si="1"/>
        <v>771925.92439174338</v>
      </c>
      <c r="AH30" s="52">
        <f t="shared" si="1"/>
        <v>118461.97260825652</v>
      </c>
      <c r="AI30" s="45">
        <f>IFERROR('Project Managers'!AH30/'Project Managers'!AF30,0)</f>
        <v>0.13304535361205222</v>
      </c>
      <c r="AJ30" s="53" t="s">
        <v>55</v>
      </c>
      <c r="AK30" s="43">
        <f t="shared" si="1"/>
        <v>0</v>
      </c>
      <c r="AL30" s="43">
        <f t="shared" si="1"/>
        <v>0</v>
      </c>
      <c r="AM30" s="43">
        <f t="shared" si="1"/>
        <v>0</v>
      </c>
      <c r="AN30" s="45">
        <f>IFERROR('Project Managers'!AM30/'Project Managers'!AK30,0)</f>
        <v>0</v>
      </c>
      <c r="AO30" s="54" t="s">
        <v>55</v>
      </c>
      <c r="AP30" s="54" t="s">
        <v>55</v>
      </c>
      <c r="AQ30" s="54" t="s">
        <v>55</v>
      </c>
      <c r="AR30" s="55" t="s">
        <v>55</v>
      </c>
      <c r="AS30" s="6" t="s">
        <v>55</v>
      </c>
    </row>
    <row r="31" spans="2:45" ht="15" customHeight="1" outlineLevel="1" x14ac:dyDescent="0.2">
      <c r="B31" s="27" t="s">
        <v>88</v>
      </c>
      <c r="C31" s="27" t="s">
        <v>89</v>
      </c>
      <c r="D31" s="27" t="s">
        <v>90</v>
      </c>
      <c r="E31" s="28">
        <v>898831.39</v>
      </c>
      <c r="F31" s="28">
        <f>IFERROR('Project Managers'!E31*(1-'Project Managers'!H31),0)</f>
        <v>728053.42590000003</v>
      </c>
      <c r="G31" s="28">
        <f>IFERROR('Project Managers'!E31-'Project Managers'!F31,0)</f>
        <v>170777.96409999998</v>
      </c>
      <c r="H31" s="29" cm="1">
        <f t="array" ref="H31">IF(ISBLANK('Project Managers'!AO31),'Project Managers'!R31,'Project Managers'!AO31)</f>
        <v>0.19</v>
      </c>
      <c r="I31" s="28">
        <v>898831.39</v>
      </c>
      <c r="J31" s="28">
        <v>744578.07</v>
      </c>
      <c r="K31" s="28">
        <f>IFERROR('Project Managers'!I31-'Project Managers'!J31,0)</f>
        <v>154253.32000000007</v>
      </c>
      <c r="L31" s="29">
        <f>IFERROR('Project Managers'!K31/'Project Managers'!I31,0)</f>
        <v>0.1716154127639001</v>
      </c>
      <c r="M31" s="28">
        <v>898831.39</v>
      </c>
      <c r="N31" s="28">
        <f>IFERROR(IF('Project Managers'!M31-'Project Managers'!I31&gt;0,'Project Managers'!M31-'Project Managers'!I31,0),0)</f>
        <v>0</v>
      </c>
      <c r="O31" s="28">
        <f>IFERROR(IF('Project Managers'!M31-'Project Managers'!I31&lt;0,'Project Managers'!M31-'Project Managers'!I31,0),0)</f>
        <v>0</v>
      </c>
      <c r="P31" s="28">
        <f>IFERROR('Project Managers'!E31-'Project Managers'!I31,0)</f>
        <v>0</v>
      </c>
      <c r="Q31" s="29">
        <f>IFERROR(ROUND('Project Managers'!I31/'Project Managers'!E31,4),0)</f>
        <v>1</v>
      </c>
      <c r="R31" s="29" cm="1">
        <f t="array" ref="R31">IF(ISBLANK('Project Managers'!AP31),IF('Project Managers'!I31&lt;&gt;0,('Project Managers'!I31-'Project Managers'!J31)/'Project Managers'!I31,'Project Managers'!AS31),'Project Managers'!AP31)</f>
        <v>0.17</v>
      </c>
      <c r="S31" s="30">
        <v>0.08</v>
      </c>
      <c r="T31" s="31">
        <v>7.0000000000000007E-2</v>
      </c>
      <c r="U31" s="28">
        <f>IFERROR(-('Project Managers'!I31-('Project Managers'!J31/(1-'Project Managers'!R31))),0)</f>
        <v>-1749.3779518072261</v>
      </c>
      <c r="V31" s="32">
        <v>-89507.400869599995</v>
      </c>
      <c r="W31" s="28">
        <f>IFERROR(-('Project Managers'!I31-('Project Managers'!J31/(1-'Project Managers'!T31))),0)</f>
        <v>-98209.809354838682</v>
      </c>
      <c r="X31" s="29">
        <f>IFERROR(IF('Project Managers'!AQ31="",1,'Project Managers'!AQ31),0)</f>
        <v>1</v>
      </c>
      <c r="Y31" s="30">
        <v>1</v>
      </c>
      <c r="Z31" s="31">
        <v>1</v>
      </c>
      <c r="AA31" s="28">
        <f>IFERROR(IF('Project Managers'!Z31='Project Managers'!Q31,0,(('Project Managers'!Z31*'Project Managers'!E31)-'Project Managers'!I31)),0)</f>
        <v>0</v>
      </c>
      <c r="AB31" s="28">
        <f>IFERROR(IF('Project Managers'!Z31='Project Managers'!Q31,0,('Project Managers'!AA31-('Project Managers'!AA31*'Project Managers'!L31))),0)</f>
        <v>0</v>
      </c>
      <c r="AC31" s="28">
        <f>IFERROR('Project Managers'!AA31-'Project Managers'!AB31,0)</f>
        <v>0</v>
      </c>
      <c r="AD31" s="33">
        <f>IFERROR('Project Managers'!AC31/'Project Managers'!AA31,0)</f>
        <v>0</v>
      </c>
      <c r="AE31" s="34">
        <f>IFERROR(IF('Project Managers'!Z31&lt;1,1,0),0)</f>
        <v>0</v>
      </c>
      <c r="AF31" s="35">
        <f>IFERROR(IF('Project Managers'!AE31=0,0,('Project Managers'!AE31*'Project Managers'!E31)-'Project Managers'!I31-'Project Managers'!AA31),0)</f>
        <v>0</v>
      </c>
      <c r="AG31" s="35">
        <f>IFERROR(IF('Project Managers'!AE31='Project Managers'!V31,0,('Project Managers'!AF31-('Project Managers'!AF31*'Project Managers'!L31))),0)</f>
        <v>0</v>
      </c>
      <c r="AH31" s="36">
        <f>IFERROR('Project Managers'!AF31-'Project Managers'!AG31,0)</f>
        <v>0</v>
      </c>
      <c r="AI31" s="29">
        <f>IFERROR('Project Managers'!AH31/'Project Managers'!AF31,0)</f>
        <v>0</v>
      </c>
      <c r="AJ31" s="31"/>
      <c r="AK31" s="28">
        <f>IFERROR(IF('Project Managers'!AJ31=0,0,('Project Managers'!AJ31*'Project Managers'!E31)-'Project Managers'!I31-'Project Managers'!AA31-'Project Managers'!AF31),0)</f>
        <v>0</v>
      </c>
      <c r="AL31" s="28">
        <f>IFERROR(IF('Project Managers'!AJ31='Project Managers'!V31,0,('Project Managers'!AK31-('Project Managers'!AK31*'Project Managers'!L31))),0)</f>
        <v>0</v>
      </c>
      <c r="AM31" s="28">
        <f>IFERROR('Project Managers'!AK31-'Project Managers'!AL31,0)</f>
        <v>0</v>
      </c>
      <c r="AN31" s="29">
        <f>IFERROR('Project Managers'!AM31/'Project Managers'!AK31,0)</f>
        <v>0</v>
      </c>
      <c r="AO31" s="37">
        <v>0.19</v>
      </c>
      <c r="AP31" s="37">
        <v>0.17</v>
      </c>
      <c r="AQ31" s="37"/>
      <c r="AR31" s="38"/>
      <c r="AS31" s="39"/>
    </row>
    <row r="32" spans="2:45" ht="15" customHeight="1" outlineLevel="1" x14ac:dyDescent="0.2">
      <c r="B32" s="27" t="s">
        <v>88</v>
      </c>
      <c r="C32" s="27" t="s">
        <v>91</v>
      </c>
      <c r="D32" s="27" t="s">
        <v>92</v>
      </c>
      <c r="E32" s="28">
        <v>10000</v>
      </c>
      <c r="F32" s="28">
        <f>IFERROR('Project Managers'!E32*(1-'Project Managers'!H32),0)</f>
        <v>10000</v>
      </c>
      <c r="G32" s="28">
        <f>IFERROR('Project Managers'!E32-'Project Managers'!F32,0)</f>
        <v>0</v>
      </c>
      <c r="H32" s="29" cm="1">
        <f t="array" ref="H32">IF(ISBLANK('Project Managers'!AO32),'Project Managers'!R32,'Project Managers'!AO32)</f>
        <v>0</v>
      </c>
      <c r="I32" s="28">
        <v>6910.28</v>
      </c>
      <c r="J32" s="28">
        <v>6910.28</v>
      </c>
      <c r="K32" s="28">
        <f>IFERROR('Project Managers'!I32-'Project Managers'!J32,0)</f>
        <v>0</v>
      </c>
      <c r="L32" s="29">
        <f>IFERROR('Project Managers'!K32/'Project Managers'!I32,0)</f>
        <v>0</v>
      </c>
      <c r="M32" s="28"/>
      <c r="N32" s="28">
        <f>IFERROR(IF('Project Managers'!M32-'Project Managers'!I32&gt;0,'Project Managers'!M32-'Project Managers'!I32,0),0)</f>
        <v>0</v>
      </c>
      <c r="O32" s="28">
        <f>IFERROR(IF('Project Managers'!M32-'Project Managers'!I32&lt;0,'Project Managers'!M32-'Project Managers'!I32,0),0)</f>
        <v>-6910.28</v>
      </c>
      <c r="P32" s="28">
        <f>IFERROR('Project Managers'!E32-'Project Managers'!I32,0)</f>
        <v>3089.7200000000003</v>
      </c>
      <c r="Q32" s="29">
        <f>IFERROR(ROUND('Project Managers'!I32/'Project Managers'!E32,4),0)</f>
        <v>0.69099999999999995</v>
      </c>
      <c r="R32" s="29" cm="1">
        <f t="array" ref="R32">IF(ISBLANK('Project Managers'!AP32),IF('Project Managers'!I32&lt;&gt;0,('Project Managers'!I32-'Project Managers'!J32)/'Project Managers'!I32,'Project Managers'!AS32),'Project Managers'!AP32)</f>
        <v>0</v>
      </c>
      <c r="S32" s="30">
        <v>0.17</v>
      </c>
      <c r="T32" s="31">
        <v>0.17</v>
      </c>
      <c r="U32" s="28">
        <f>IFERROR(-('Project Managers'!I32-('Project Managers'!J32/(1-'Project Managers'!R32))),0)</f>
        <v>0</v>
      </c>
      <c r="V32" s="32">
        <v>1415.3585542000001</v>
      </c>
      <c r="W32" s="28">
        <f>IFERROR(-('Project Managers'!I32-('Project Managers'!J32/(1-'Project Managers'!T32))),0)</f>
        <v>1415.3585542168685</v>
      </c>
      <c r="X32" s="29">
        <f>IFERROR(IF('Project Managers'!AQ32="",1,'Project Managers'!AQ32),0)</f>
        <v>1</v>
      </c>
      <c r="Y32" s="30">
        <v>1</v>
      </c>
      <c r="Z32" s="31">
        <v>1</v>
      </c>
      <c r="AA32" s="28">
        <f>IFERROR(IF('Project Managers'!Z32='Project Managers'!Q32,0,(('Project Managers'!Z32*'Project Managers'!E32)-'Project Managers'!I32)),0)</f>
        <v>3089.7200000000003</v>
      </c>
      <c r="AB32" s="28">
        <f>IFERROR(IF('Project Managers'!Z32='Project Managers'!Q32,0,('Project Managers'!AA32-('Project Managers'!AA32*'Project Managers'!L32))),0)</f>
        <v>3089.7200000000003</v>
      </c>
      <c r="AC32" s="28">
        <f>IFERROR('Project Managers'!AA32-'Project Managers'!AB32,0)</f>
        <v>0</v>
      </c>
      <c r="AD32" s="33">
        <f>IFERROR('Project Managers'!AC32/'Project Managers'!AA32,0)</f>
        <v>0</v>
      </c>
      <c r="AE32" s="34">
        <f>IFERROR(IF('Project Managers'!Z32&lt;1,1,0),0)</f>
        <v>0</v>
      </c>
      <c r="AF32" s="35">
        <f>IFERROR(IF('Project Managers'!AE32=0,0,('Project Managers'!AE32*'Project Managers'!E32)-'Project Managers'!I32-'Project Managers'!AA32),0)</f>
        <v>0</v>
      </c>
      <c r="AG32" s="35">
        <f>IFERROR(IF('Project Managers'!AE32='Project Managers'!V32,0,('Project Managers'!AF32-('Project Managers'!AF32*'Project Managers'!L32))),0)</f>
        <v>0</v>
      </c>
      <c r="AH32" s="36">
        <f>IFERROR('Project Managers'!AF32-'Project Managers'!AG32,0)</f>
        <v>0</v>
      </c>
      <c r="AI32" s="29">
        <f>IFERROR('Project Managers'!AH32/'Project Managers'!AF32,0)</f>
        <v>0</v>
      </c>
      <c r="AJ32" s="31"/>
      <c r="AK32" s="28">
        <f>IFERROR(IF('Project Managers'!AJ32=0,0,('Project Managers'!AJ32*'Project Managers'!E32)-'Project Managers'!I32-'Project Managers'!AA32-'Project Managers'!AF32),0)</f>
        <v>0</v>
      </c>
      <c r="AL32" s="28">
        <f>IFERROR(IF('Project Managers'!AJ32='Project Managers'!V32,0,('Project Managers'!AK32-('Project Managers'!AK32*'Project Managers'!L32))),0)</f>
        <v>0</v>
      </c>
      <c r="AM32" s="28">
        <f>IFERROR('Project Managers'!AK32-'Project Managers'!AL32,0)</f>
        <v>0</v>
      </c>
      <c r="AN32" s="29">
        <f>IFERROR('Project Managers'!AM32/'Project Managers'!AK32,0)</f>
        <v>0</v>
      </c>
      <c r="AO32" s="37">
        <v>0</v>
      </c>
      <c r="AP32" s="37">
        <v>0</v>
      </c>
      <c r="AQ32" s="37"/>
      <c r="AR32" s="38"/>
      <c r="AS32" s="39"/>
    </row>
    <row r="33" spans="2:45" ht="15" customHeight="1" outlineLevel="1" x14ac:dyDescent="0.2">
      <c r="B33" s="27" t="s">
        <v>88</v>
      </c>
      <c r="C33" s="27" t="s">
        <v>93</v>
      </c>
      <c r="D33" s="27" t="s">
        <v>94</v>
      </c>
      <c r="E33" s="28">
        <v>972890</v>
      </c>
      <c r="F33" s="28">
        <f>IFERROR('Project Managers'!E33*(1-'Project Managers'!H33),0)</f>
        <v>865872.1</v>
      </c>
      <c r="G33" s="28">
        <f>IFERROR('Project Managers'!E33-'Project Managers'!F33,0)</f>
        <v>107017.90000000002</v>
      </c>
      <c r="H33" s="29" cm="1">
        <f t="array" ref="H33">IF(ISBLANK('Project Managers'!AO33),'Project Managers'!R33,'Project Managers'!AO33)</f>
        <v>0.11</v>
      </c>
      <c r="I33" s="28">
        <v>972890</v>
      </c>
      <c r="J33" s="28">
        <v>847449.19</v>
      </c>
      <c r="K33" s="28">
        <f>IFERROR('Project Managers'!I33-'Project Managers'!J33,0)</f>
        <v>125440.81000000006</v>
      </c>
      <c r="L33" s="29">
        <f>IFERROR('Project Managers'!K33/'Project Managers'!I33,0)</f>
        <v>0.12893627234322488</v>
      </c>
      <c r="M33" s="28">
        <v>972890</v>
      </c>
      <c r="N33" s="28">
        <f>IFERROR(IF('Project Managers'!M33-'Project Managers'!I33&gt;0,'Project Managers'!M33-'Project Managers'!I33,0),0)</f>
        <v>0</v>
      </c>
      <c r="O33" s="28">
        <f>IFERROR(IF('Project Managers'!M33-'Project Managers'!I33&lt;0,'Project Managers'!M33-'Project Managers'!I33,0),0)</f>
        <v>0</v>
      </c>
      <c r="P33" s="28">
        <f>IFERROR('Project Managers'!E33-'Project Managers'!I33,0)</f>
        <v>0</v>
      </c>
      <c r="Q33" s="29">
        <f>IFERROR(ROUND('Project Managers'!I33/'Project Managers'!E33,4),0)</f>
        <v>1</v>
      </c>
      <c r="R33" s="29" cm="1">
        <f t="array" ref="R33">IF(ISBLANK('Project Managers'!AP33),IF('Project Managers'!I33&lt;&gt;0,('Project Managers'!I33-'Project Managers'!J33)/'Project Managers'!I33,'Project Managers'!AS33),'Project Managers'!AP33)</f>
        <v>0.12</v>
      </c>
      <c r="S33" s="30">
        <v>0.13</v>
      </c>
      <c r="T33" s="31">
        <v>0.13</v>
      </c>
      <c r="U33" s="28">
        <f>IFERROR(-('Project Managers'!I33-('Project Managers'!J33/(1-'Project Managers'!R33))),0)</f>
        <v>-9879.5568181818817</v>
      </c>
      <c r="V33" s="32">
        <v>-487.01540230000001</v>
      </c>
      <c r="W33" s="28">
        <f>IFERROR(-('Project Managers'!I33-('Project Managers'!J33/(1-'Project Managers'!T33))),0)</f>
        <v>1189.5287356320769</v>
      </c>
      <c r="X33" s="29">
        <f>IFERROR(IF('Project Managers'!AQ33="",1,'Project Managers'!AQ33),0)</f>
        <v>1</v>
      </c>
      <c r="Y33" s="30">
        <v>1</v>
      </c>
      <c r="Z33" s="31">
        <v>1</v>
      </c>
      <c r="AA33" s="28">
        <f>IFERROR(IF('Project Managers'!Z33='Project Managers'!Q33,0,(('Project Managers'!Z33*'Project Managers'!E33)-'Project Managers'!I33)),0)</f>
        <v>0</v>
      </c>
      <c r="AB33" s="28">
        <f>IFERROR(IF('Project Managers'!Z33='Project Managers'!Q33,0,('Project Managers'!AA33-('Project Managers'!AA33*'Project Managers'!L33))),0)</f>
        <v>0</v>
      </c>
      <c r="AC33" s="28">
        <f>IFERROR('Project Managers'!AA33-'Project Managers'!AB33,0)</f>
        <v>0</v>
      </c>
      <c r="AD33" s="33">
        <f>IFERROR('Project Managers'!AC33/'Project Managers'!AA33,0)</f>
        <v>0</v>
      </c>
      <c r="AE33" s="34">
        <f>IFERROR(IF('Project Managers'!Z33&lt;1,1,0),0)</f>
        <v>0</v>
      </c>
      <c r="AF33" s="35">
        <f>IFERROR(IF('Project Managers'!AE33=0,0,('Project Managers'!AE33*'Project Managers'!E33)-'Project Managers'!I33-'Project Managers'!AA33),0)</f>
        <v>0</v>
      </c>
      <c r="AG33" s="35">
        <f>IFERROR(IF('Project Managers'!AE33='Project Managers'!V33,0,('Project Managers'!AF33-('Project Managers'!AF33*'Project Managers'!L33))),0)</f>
        <v>0</v>
      </c>
      <c r="AH33" s="36">
        <f>IFERROR('Project Managers'!AF33-'Project Managers'!AG33,0)</f>
        <v>0</v>
      </c>
      <c r="AI33" s="29">
        <f>IFERROR('Project Managers'!AH33/'Project Managers'!AF33,0)</f>
        <v>0</v>
      </c>
      <c r="AJ33" s="31"/>
      <c r="AK33" s="28">
        <f>IFERROR(IF('Project Managers'!AJ33=0,0,('Project Managers'!AJ33*'Project Managers'!E33)-'Project Managers'!I33-'Project Managers'!AA33-'Project Managers'!AF33),0)</f>
        <v>0</v>
      </c>
      <c r="AL33" s="28">
        <f>IFERROR(IF('Project Managers'!AJ33='Project Managers'!V33,0,('Project Managers'!AK33-('Project Managers'!AK33*'Project Managers'!L33))),0)</f>
        <v>0</v>
      </c>
      <c r="AM33" s="28">
        <f>IFERROR('Project Managers'!AK33-'Project Managers'!AL33,0)</f>
        <v>0</v>
      </c>
      <c r="AN33" s="29">
        <f>IFERROR('Project Managers'!AM33/'Project Managers'!AK33,0)</f>
        <v>0</v>
      </c>
      <c r="AO33" s="37">
        <v>0.11</v>
      </c>
      <c r="AP33" s="37">
        <v>0.12</v>
      </c>
      <c r="AQ33" s="37"/>
      <c r="AR33" s="38"/>
      <c r="AS33" s="39">
        <v>0.13</v>
      </c>
    </row>
    <row r="34" spans="2:45" ht="15" customHeight="1" outlineLevel="1" x14ac:dyDescent="0.2">
      <c r="B34" s="27" t="s">
        <v>88</v>
      </c>
      <c r="C34" s="27" t="s">
        <v>95</v>
      </c>
      <c r="D34" s="27" t="s">
        <v>96</v>
      </c>
      <c r="E34" s="28">
        <v>10801639</v>
      </c>
      <c r="F34" s="28">
        <f>IFERROR('Project Managers'!E34*(1-'Project Managers'!H34),0)</f>
        <v>8857343.9800000004</v>
      </c>
      <c r="G34" s="28">
        <f>IFERROR('Project Managers'!E34-'Project Managers'!F34,0)</f>
        <v>1944295.0199999996</v>
      </c>
      <c r="H34" s="29" cm="1">
        <f t="array" ref="H34">IF(ISBLANK('Project Managers'!AO34),'Project Managers'!R34,'Project Managers'!AO34)</f>
        <v>0.18</v>
      </c>
      <c r="I34" s="28">
        <v>10200547.380000001</v>
      </c>
      <c r="J34" s="28">
        <v>6443807.5700000003</v>
      </c>
      <c r="K34" s="28">
        <f>IFERROR('Project Managers'!I34-'Project Managers'!J34,0)</f>
        <v>3756739.8100000005</v>
      </c>
      <c r="L34" s="29">
        <f>IFERROR('Project Managers'!K34/'Project Managers'!I34,0)</f>
        <v>0.36828806043936047</v>
      </c>
      <c r="M34" s="28">
        <v>10801639</v>
      </c>
      <c r="N34" s="28">
        <f>IFERROR(IF('Project Managers'!M34-'Project Managers'!I34&gt;0,'Project Managers'!M34-'Project Managers'!I34,0),0)</f>
        <v>601091.61999999918</v>
      </c>
      <c r="O34" s="28">
        <f>IFERROR(IF('Project Managers'!M34-'Project Managers'!I34&lt;0,'Project Managers'!M34-'Project Managers'!I34,0),0)</f>
        <v>0</v>
      </c>
      <c r="P34" s="28">
        <f>IFERROR('Project Managers'!E34-'Project Managers'!I34,0)</f>
        <v>601091.61999999918</v>
      </c>
      <c r="Q34" s="29">
        <f>IFERROR(ROUND('Project Managers'!I34/'Project Managers'!E34,4),0)</f>
        <v>0.94440000000000002</v>
      </c>
      <c r="R34" s="29" cm="1">
        <f t="array" ref="R34">IF(ISBLANK('Project Managers'!AP34),IF('Project Managers'!I34&lt;&gt;0,('Project Managers'!I34-'Project Managers'!J34)/'Project Managers'!I34,'Project Managers'!AS34),'Project Managers'!AP34)</f>
        <v>0.36</v>
      </c>
      <c r="S34" s="30">
        <v>0.36</v>
      </c>
      <c r="T34" s="31">
        <v>0.39</v>
      </c>
      <c r="U34" s="28">
        <f>IFERROR(-('Project Managers'!I34-('Project Managers'!J34/(1-'Project Managers'!R34))),0)</f>
        <v>-132098.05187500082</v>
      </c>
      <c r="V34" s="32">
        <v>150995.015625</v>
      </c>
      <c r="W34" s="28">
        <f>IFERROR(-('Project Managers'!I34-('Project Managers'!J34/(1-'Project Managers'!T34))),0)</f>
        <v>363071.5872131139</v>
      </c>
      <c r="X34" s="29">
        <f>IFERROR(IF('Project Managers'!AQ34="",1,'Project Managers'!AQ34),0)</f>
        <v>1</v>
      </c>
      <c r="Y34" s="30">
        <v>0.99829999999999997</v>
      </c>
      <c r="Z34" s="31">
        <v>0.98</v>
      </c>
      <c r="AA34" s="28">
        <f>IFERROR(IF('Project Managers'!Z34='Project Managers'!Q34,0,(('Project Managers'!Z34*'Project Managers'!E34)-'Project Managers'!I34)),0)</f>
        <v>385058.83999999985</v>
      </c>
      <c r="AB34" s="28">
        <f>IFERROR(IF('Project Managers'!Z34='Project Managers'!Q34,0,('Project Managers'!AA34-('Project Managers'!AA34*'Project Managers'!L34))),0)</f>
        <v>243246.26666136988</v>
      </c>
      <c r="AC34" s="28">
        <f>IFERROR('Project Managers'!AA34-'Project Managers'!AB34,0)</f>
        <v>141812.57333862997</v>
      </c>
      <c r="AD34" s="33">
        <f>IFERROR('Project Managers'!AC34/'Project Managers'!AA34,0)</f>
        <v>0.36828806043936047</v>
      </c>
      <c r="AE34" s="34">
        <f>IFERROR(IF('Project Managers'!Z34&lt;1,1,0),0)</f>
        <v>1</v>
      </c>
      <c r="AF34" s="35">
        <f>IFERROR(IF('Project Managers'!AE34=0,0,('Project Managers'!AE34*'Project Managers'!E34)-'Project Managers'!I34-'Project Managers'!AA34),0)</f>
        <v>216032.77999999933</v>
      </c>
      <c r="AG34" s="35">
        <f>IFERROR(IF('Project Managers'!AE34='Project Managers'!V34,0,('Project Managers'!AF34-('Project Managers'!AF34*'Project Managers'!L34))),0)</f>
        <v>136470.48646247652</v>
      </c>
      <c r="AH34" s="36">
        <f>IFERROR('Project Managers'!AF34-'Project Managers'!AG34,0)</f>
        <v>79562.293537522812</v>
      </c>
      <c r="AI34" s="29">
        <f>IFERROR('Project Managers'!AH34/'Project Managers'!AF34,0)</f>
        <v>0.36828806043936047</v>
      </c>
      <c r="AJ34" s="31"/>
      <c r="AK34" s="28">
        <f>IFERROR(IF('Project Managers'!AJ34=0,0,('Project Managers'!AJ34*'Project Managers'!E34)-'Project Managers'!I34-'Project Managers'!AA34-'Project Managers'!AF34),0)</f>
        <v>0</v>
      </c>
      <c r="AL34" s="28">
        <f>IFERROR(IF('Project Managers'!AJ34='Project Managers'!V34,0,('Project Managers'!AK34-('Project Managers'!AK34*'Project Managers'!L34))),0)</f>
        <v>0</v>
      </c>
      <c r="AM34" s="28">
        <f>IFERROR('Project Managers'!AK34-'Project Managers'!AL34,0)</f>
        <v>0</v>
      </c>
      <c r="AN34" s="29">
        <f>IFERROR('Project Managers'!AM34/'Project Managers'!AK34,0)</f>
        <v>0</v>
      </c>
      <c r="AO34" s="37">
        <v>0.18</v>
      </c>
      <c r="AP34" s="37">
        <v>0.36</v>
      </c>
      <c r="AQ34" s="37"/>
      <c r="AR34" s="38"/>
      <c r="AS34" s="39"/>
    </row>
    <row r="35" spans="2:45" ht="15" customHeight="1" outlineLevel="1" x14ac:dyDescent="0.2">
      <c r="B35" s="27" t="s">
        <v>88</v>
      </c>
      <c r="C35" s="27" t="s">
        <v>97</v>
      </c>
      <c r="D35" s="27" t="s">
        <v>98</v>
      </c>
      <c r="E35" s="28">
        <v>540613</v>
      </c>
      <c r="F35" s="28">
        <f>IFERROR('Project Managers'!E35*(1-'Project Managers'!H35),0)</f>
        <v>432490.35161094199</v>
      </c>
      <c r="G35" s="28">
        <f>IFERROR('Project Managers'!E35-'Project Managers'!F35,0)</f>
        <v>108122.64838905801</v>
      </c>
      <c r="H35" s="29" cm="1">
        <f t="array" ref="H35">IF(ISBLANK('Project Managers'!AO35),'Project Managers'!R35,'Project Managers'!AO35)</f>
        <v>0.2000000895077588</v>
      </c>
      <c r="I35" s="28">
        <v>536266.36</v>
      </c>
      <c r="J35" s="28">
        <v>429013.04</v>
      </c>
      <c r="K35" s="28">
        <f>IFERROR('Project Managers'!I35-'Project Managers'!J35,0)</f>
        <v>107253.32</v>
      </c>
      <c r="L35" s="29">
        <f>IFERROR('Project Managers'!K35/'Project Managers'!I35,0)</f>
        <v>0.2000000895077588</v>
      </c>
      <c r="M35" s="28">
        <v>540613</v>
      </c>
      <c r="N35" s="28">
        <f>IFERROR(IF('Project Managers'!M35-'Project Managers'!I35&gt;0,'Project Managers'!M35-'Project Managers'!I35,0),0)</f>
        <v>4346.640000000014</v>
      </c>
      <c r="O35" s="28">
        <f>IFERROR(IF('Project Managers'!M35-'Project Managers'!I35&lt;0,'Project Managers'!M35-'Project Managers'!I35,0),0)</f>
        <v>0</v>
      </c>
      <c r="P35" s="28">
        <f>IFERROR('Project Managers'!E35-'Project Managers'!I35,0)</f>
        <v>4346.640000000014</v>
      </c>
      <c r="Q35" s="29">
        <f>IFERROR(ROUND('Project Managers'!I35/'Project Managers'!E35,4),0)</f>
        <v>0.99199999999999999</v>
      </c>
      <c r="R35" s="29">
        <f>IF(ISBLANK('Project Managers'!AP35),IF('Project Managers'!I35&lt;&gt;0,('Project Managers'!I35-'Project Managers'!J35)/'Project Managers'!I35,'Project Managers'!AS35),'Project Managers'!AP35)</f>
        <v>0.2000000895077588</v>
      </c>
      <c r="S35" s="30">
        <v>0.17</v>
      </c>
      <c r="T35" s="31">
        <v>0.2</v>
      </c>
      <c r="U35" s="28">
        <f>IFERROR(-('Project Managers'!I35-('Project Managers'!J35/(1-'Project Managers'!R35))),0)</f>
        <v>0</v>
      </c>
      <c r="V35" s="32">
        <v>2008.2645783</v>
      </c>
      <c r="W35" s="28">
        <f>IFERROR(-('Project Managers'!I35-('Project Managers'!J35/(1-'Project Managers'!T35))),0)</f>
        <v>-6.0000000055879354E-2</v>
      </c>
      <c r="X35" s="29">
        <f>IFERROR(IF('Project Managers'!AQ35="",1,'Project Managers'!AQ35),0)</f>
        <v>1</v>
      </c>
      <c r="Y35" s="30">
        <v>0.98119999999999996</v>
      </c>
      <c r="Z35" s="31">
        <v>0.95</v>
      </c>
      <c r="AA35" s="28">
        <f>IFERROR(IF('Project Managers'!Z35='Project Managers'!Q35,0,(('Project Managers'!Z35*'Project Managers'!E35)-'Project Managers'!I35)),0)</f>
        <v>-22684.010000000009</v>
      </c>
      <c r="AB35" s="28">
        <f>IFERROR(IF('Project Managers'!Z35='Project Managers'!Q35,0,('Project Managers'!AA35-('Project Managers'!AA35*'Project Managers'!L35))),0)</f>
        <v>-18147.205969605111</v>
      </c>
      <c r="AC35" s="28">
        <f>IFERROR('Project Managers'!AA35-'Project Managers'!AB35,0)</f>
        <v>-4536.8040303948983</v>
      </c>
      <c r="AD35" s="33">
        <f>IFERROR('Project Managers'!AC35/'Project Managers'!AA35,0)</f>
        <v>0.20000008950775883</v>
      </c>
      <c r="AE35" s="34">
        <f>IFERROR(IF('Project Managers'!Z35&lt;1,1,0),0)</f>
        <v>1</v>
      </c>
      <c r="AF35" s="35">
        <f>IFERROR(IF('Project Managers'!AE35=0,0,('Project Managers'!AE35*'Project Managers'!E35)-'Project Managers'!I35-'Project Managers'!AA35),0)</f>
        <v>27030.650000000023</v>
      </c>
      <c r="AG35" s="35">
        <f>IFERROR(IF('Project Managers'!AE35='Project Managers'!V35,0,('Project Managers'!AF35-('Project Managers'!AF35*'Project Managers'!L35))),0)</f>
        <v>21624.517580547119</v>
      </c>
      <c r="AH35" s="36">
        <f>IFERROR('Project Managers'!AF35-'Project Managers'!AG35,0)</f>
        <v>5406.1324194529043</v>
      </c>
      <c r="AI35" s="29">
        <f>IFERROR('Project Managers'!AH35/'Project Managers'!AF35,0)</f>
        <v>0.20000008950775877</v>
      </c>
      <c r="AJ35" s="31"/>
      <c r="AK35" s="28">
        <f>IFERROR(IF('Project Managers'!AJ35=0,0,('Project Managers'!AJ35*'Project Managers'!E35)-'Project Managers'!I35-'Project Managers'!AA35-'Project Managers'!AF35),0)</f>
        <v>0</v>
      </c>
      <c r="AL35" s="28">
        <f>IFERROR(IF('Project Managers'!AJ35='Project Managers'!V35,0,('Project Managers'!AK35-('Project Managers'!AK35*'Project Managers'!L35))),0)</f>
        <v>0</v>
      </c>
      <c r="AM35" s="28">
        <f>IFERROR('Project Managers'!AK35-'Project Managers'!AL35,0)</f>
        <v>0</v>
      </c>
      <c r="AN35" s="29">
        <f>IFERROR('Project Managers'!AM35/'Project Managers'!AK35,0)</f>
        <v>0</v>
      </c>
      <c r="AO35" s="37"/>
      <c r="AP35" s="37"/>
      <c r="AQ35" s="37"/>
      <c r="AR35" s="38"/>
      <c r="AS35" s="39">
        <v>0.2</v>
      </c>
    </row>
    <row r="36" spans="2:45" ht="15" customHeight="1" outlineLevel="1" x14ac:dyDescent="0.2">
      <c r="B36" s="27" t="s">
        <v>88</v>
      </c>
      <c r="C36" s="27" t="s">
        <v>99</v>
      </c>
      <c r="D36" s="27" t="s">
        <v>100</v>
      </c>
      <c r="E36" s="28">
        <v>540613</v>
      </c>
      <c r="F36" s="28">
        <f>IFERROR('Project Managers'!E36*(1-'Project Managers'!H36),0)</f>
        <v>432490.26103505387</v>
      </c>
      <c r="G36" s="28">
        <f>IFERROR('Project Managers'!E36-'Project Managers'!F36,0)</f>
        <v>108122.73896494613</v>
      </c>
      <c r="H36" s="29" cm="1">
        <f t="array" ref="H36">IF(ISBLANK('Project Managers'!AO36),'Project Managers'!R36,'Project Managers'!AO36)</f>
        <v>0.20000025705069263</v>
      </c>
      <c r="I36" s="28">
        <v>264539.26</v>
      </c>
      <c r="J36" s="28">
        <v>211631.34</v>
      </c>
      <c r="K36" s="28">
        <f>IFERROR('Project Managers'!I36-'Project Managers'!J36,0)</f>
        <v>52907.920000000013</v>
      </c>
      <c r="L36" s="29">
        <f>IFERROR('Project Managers'!K36/'Project Managers'!I36,0)</f>
        <v>0.20000025705069263</v>
      </c>
      <c r="M36" s="28">
        <v>540613</v>
      </c>
      <c r="N36" s="28">
        <f>IFERROR(IF('Project Managers'!M36-'Project Managers'!I36&gt;0,'Project Managers'!M36-'Project Managers'!I36,0),0)</f>
        <v>276073.74</v>
      </c>
      <c r="O36" s="28">
        <f>IFERROR(IF('Project Managers'!M36-'Project Managers'!I36&lt;0,'Project Managers'!M36-'Project Managers'!I36,0),0)</f>
        <v>0</v>
      </c>
      <c r="P36" s="28">
        <f>IFERROR('Project Managers'!E36-'Project Managers'!I36,0)</f>
        <v>276073.74</v>
      </c>
      <c r="Q36" s="29">
        <f>IFERROR(ROUND('Project Managers'!I36/'Project Managers'!E36,4),0)</f>
        <v>0.48930000000000001</v>
      </c>
      <c r="R36" s="29">
        <f>IF(ISBLANK('Project Managers'!AP36),IF('Project Managers'!I36&lt;&gt;0,('Project Managers'!I36-'Project Managers'!J36)/'Project Managers'!I36,'Project Managers'!AS36),'Project Managers'!AP36)</f>
        <v>0.20000025705069263</v>
      </c>
      <c r="S36" s="30">
        <v>0.17</v>
      </c>
      <c r="T36" s="31">
        <v>0.2</v>
      </c>
      <c r="U36" s="28">
        <f>IFERROR(-('Project Managers'!I36-('Project Managers'!J36/(1-'Project Managers'!R36))),0)</f>
        <v>0</v>
      </c>
      <c r="V36" s="32">
        <v>979.57216870000002</v>
      </c>
      <c r="W36" s="28">
        <f>IFERROR(-('Project Managers'!I36-('Project Managers'!J36/(1-'Project Managers'!T36))),0)</f>
        <v>-8.5000000020954758E-2</v>
      </c>
      <c r="X36" s="29">
        <f>IFERROR(IF('Project Managers'!AQ36="",1,'Project Managers'!AQ36),0)</f>
        <v>1</v>
      </c>
      <c r="Y36" s="30">
        <v>0.86280000000000001</v>
      </c>
      <c r="Z36" s="31">
        <v>0.95</v>
      </c>
      <c r="AA36" s="28">
        <f>IFERROR(IF('Project Managers'!Z36='Project Managers'!Q36,0,(('Project Managers'!Z36*'Project Managers'!E36)-'Project Managers'!I36)),0)</f>
        <v>249043.08999999997</v>
      </c>
      <c r="AB36" s="28">
        <f>IFERROR(IF('Project Managers'!Z36='Project Managers'!Q36,0,('Project Managers'!AA36-('Project Managers'!AA36*'Project Managers'!L36))),0)</f>
        <v>199234.40798330121</v>
      </c>
      <c r="AC36" s="28">
        <f>IFERROR('Project Managers'!AA36-'Project Managers'!AB36,0)</f>
        <v>49808.68201669876</v>
      </c>
      <c r="AD36" s="33">
        <f>IFERROR('Project Managers'!AC36/'Project Managers'!AA36,0)</f>
        <v>0.20000025705069258</v>
      </c>
      <c r="AE36" s="34">
        <f>IFERROR(IF('Project Managers'!Z36&lt;1,1,0),0)</f>
        <v>1</v>
      </c>
      <c r="AF36" s="35">
        <f>IFERROR(IF('Project Managers'!AE36=0,0,('Project Managers'!AE36*'Project Managers'!E36)-'Project Managers'!I36-'Project Managers'!AA36),0)</f>
        <v>27030.650000000023</v>
      </c>
      <c r="AG36" s="35">
        <f>IFERROR(IF('Project Managers'!AE36='Project Managers'!V36,0,('Project Managers'!AF36-('Project Managers'!AF36*'Project Managers'!L36))),0)</f>
        <v>21624.513051752714</v>
      </c>
      <c r="AH36" s="36">
        <f>IFERROR('Project Managers'!AF36-'Project Managers'!AG36,0)</f>
        <v>5406.1369482473092</v>
      </c>
      <c r="AI36" s="29">
        <f>IFERROR('Project Managers'!AH36/'Project Managers'!AF36,0)</f>
        <v>0.20000025705069263</v>
      </c>
      <c r="AJ36" s="31"/>
      <c r="AK36" s="28">
        <f>IFERROR(IF('Project Managers'!AJ36=0,0,('Project Managers'!AJ36*'Project Managers'!E36)-'Project Managers'!I36-'Project Managers'!AA36-'Project Managers'!AF36),0)</f>
        <v>0</v>
      </c>
      <c r="AL36" s="28">
        <f>IFERROR(IF('Project Managers'!AJ36='Project Managers'!V36,0,('Project Managers'!AK36-('Project Managers'!AK36*'Project Managers'!L36))),0)</f>
        <v>0</v>
      </c>
      <c r="AM36" s="28">
        <f>IFERROR('Project Managers'!AK36-'Project Managers'!AL36,0)</f>
        <v>0</v>
      </c>
      <c r="AN36" s="29">
        <f>IFERROR('Project Managers'!AM36/'Project Managers'!AK36,0)</f>
        <v>0</v>
      </c>
      <c r="AO36" s="37"/>
      <c r="AP36" s="37"/>
      <c r="AQ36" s="37"/>
      <c r="AR36" s="38"/>
      <c r="AS36" s="39">
        <v>0.2</v>
      </c>
    </row>
    <row r="37" spans="2:45" ht="15" customHeight="1" outlineLevel="1" x14ac:dyDescent="0.2">
      <c r="B37" s="27" t="s">
        <v>88</v>
      </c>
      <c r="C37" s="27" t="s">
        <v>101</v>
      </c>
      <c r="D37" s="27" t="s">
        <v>102</v>
      </c>
      <c r="E37" s="28">
        <v>540613</v>
      </c>
      <c r="F37" s="28">
        <f>IFERROR('Project Managers'!E37*(1-'Project Managers'!H37),0)</f>
        <v>432490.37753790274</v>
      </c>
      <c r="G37" s="28">
        <f>IFERROR('Project Managers'!E37-'Project Managers'!F37,0)</f>
        <v>108122.62246209726</v>
      </c>
      <c r="H37" s="29" cm="1">
        <f t="array" ref="H37">IF(ISBLANK('Project Managers'!AO37),'Project Managers'!R37,'Project Managers'!AO37)</f>
        <v>0.20000004154931031</v>
      </c>
      <c r="I37" s="28">
        <v>529491.34</v>
      </c>
      <c r="J37" s="28">
        <v>423593.05</v>
      </c>
      <c r="K37" s="28">
        <f>IFERROR('Project Managers'!I37-'Project Managers'!J37,0)</f>
        <v>105898.28999999998</v>
      </c>
      <c r="L37" s="29">
        <f>IFERROR('Project Managers'!K37/'Project Managers'!I37,0)</f>
        <v>0.20000004154931031</v>
      </c>
      <c r="M37" s="28">
        <v>540613</v>
      </c>
      <c r="N37" s="28">
        <f>IFERROR(IF('Project Managers'!M37-'Project Managers'!I37&gt;0,'Project Managers'!M37-'Project Managers'!I37,0),0)</f>
        <v>11121.660000000033</v>
      </c>
      <c r="O37" s="28">
        <f>IFERROR(IF('Project Managers'!M37-'Project Managers'!I37&lt;0,'Project Managers'!M37-'Project Managers'!I37,0),0)</f>
        <v>0</v>
      </c>
      <c r="P37" s="28">
        <f>IFERROR('Project Managers'!E37-'Project Managers'!I37,0)</f>
        <v>11121.660000000033</v>
      </c>
      <c r="Q37" s="29">
        <f>IFERROR(ROUND('Project Managers'!I37/'Project Managers'!E37,4),0)</f>
        <v>0.97940000000000005</v>
      </c>
      <c r="R37" s="29">
        <f>IF(ISBLANK('Project Managers'!AP37),IF('Project Managers'!I37&lt;&gt;0,('Project Managers'!I37-'Project Managers'!J37)/'Project Managers'!I37,'Project Managers'!AS37),'Project Managers'!AP37)</f>
        <v>0.20000004154931031</v>
      </c>
      <c r="S37" s="30">
        <v>0.17</v>
      </c>
      <c r="T37" s="31">
        <v>0.2</v>
      </c>
      <c r="U37" s="28">
        <f>IFERROR(-('Project Managers'!I37-('Project Managers'!J37/(1-'Project Managers'!R37))),0)</f>
        <v>0</v>
      </c>
      <c r="V37" s="32">
        <v>2003.3174699000001</v>
      </c>
      <c r="W37" s="28">
        <f>IFERROR(-('Project Managers'!I37-('Project Managers'!J37/(1-'Project Managers'!T37))),0)</f>
        <v>-2.749999996740371E-2</v>
      </c>
      <c r="X37" s="29">
        <f>IFERROR(IF('Project Managers'!AQ37="",1,'Project Managers'!AQ37),0)</f>
        <v>1</v>
      </c>
      <c r="Y37" s="30">
        <v>0.98070000000000002</v>
      </c>
      <c r="Z37" s="31">
        <v>0.95</v>
      </c>
      <c r="AA37" s="28">
        <f>IFERROR(IF('Project Managers'!Z37='Project Managers'!Q37,0,(('Project Managers'!Z37*'Project Managers'!E37)-'Project Managers'!I37)),0)</f>
        <v>-15908.989999999991</v>
      </c>
      <c r="AB37" s="28">
        <f>IFERROR(IF('Project Managers'!Z37='Project Managers'!Q37,0,('Project Managers'!AA37-('Project Managers'!AA37*'Project Managers'!L37))),0)</f>
        <v>-12727.19133899243</v>
      </c>
      <c r="AC37" s="28">
        <f>IFERROR('Project Managers'!AA37-'Project Managers'!AB37,0)</f>
        <v>-3181.7986610075604</v>
      </c>
      <c r="AD37" s="33">
        <f>IFERROR('Project Managers'!AC37/'Project Managers'!AA37,0)</f>
        <v>0.20000004154931031</v>
      </c>
      <c r="AE37" s="34">
        <f>IFERROR(IF('Project Managers'!Z37&lt;1,1,0),0)</f>
        <v>1</v>
      </c>
      <c r="AF37" s="35">
        <f>IFERROR(IF('Project Managers'!AE37=0,0,('Project Managers'!AE37*'Project Managers'!E37)-'Project Managers'!I37-'Project Managers'!AA37),0)</f>
        <v>27030.650000000023</v>
      </c>
      <c r="AG37" s="35">
        <f>IFERROR(IF('Project Managers'!AE37='Project Managers'!V37,0,('Project Managers'!AF37-('Project Managers'!AF37*'Project Managers'!L37))),0)</f>
        <v>21624.518876895156</v>
      </c>
      <c r="AH37" s="36">
        <f>IFERROR('Project Managers'!AF37-'Project Managers'!AG37,0)</f>
        <v>5406.1311231048676</v>
      </c>
      <c r="AI37" s="29">
        <f>IFERROR('Project Managers'!AH37/'Project Managers'!AF37,0)</f>
        <v>0.20000004154931025</v>
      </c>
      <c r="AJ37" s="31"/>
      <c r="AK37" s="28">
        <f>IFERROR(IF('Project Managers'!AJ37=0,0,('Project Managers'!AJ37*'Project Managers'!E37)-'Project Managers'!I37-'Project Managers'!AA37-'Project Managers'!AF37),0)</f>
        <v>0</v>
      </c>
      <c r="AL37" s="28">
        <f>IFERROR(IF('Project Managers'!AJ37='Project Managers'!V37,0,('Project Managers'!AK37-('Project Managers'!AK37*'Project Managers'!L37))),0)</f>
        <v>0</v>
      </c>
      <c r="AM37" s="28">
        <f>IFERROR('Project Managers'!AK37-'Project Managers'!AL37,0)</f>
        <v>0</v>
      </c>
      <c r="AN37" s="29">
        <f>IFERROR('Project Managers'!AM37/'Project Managers'!AK37,0)</f>
        <v>0</v>
      </c>
      <c r="AO37" s="37"/>
      <c r="AP37" s="37"/>
      <c r="AQ37" s="37"/>
      <c r="AR37" s="38"/>
      <c r="AS37" s="39">
        <v>0.2</v>
      </c>
    </row>
    <row r="38" spans="2:45" ht="15" customHeight="1" outlineLevel="1" x14ac:dyDescent="0.2">
      <c r="B38" s="27" t="s">
        <v>88</v>
      </c>
      <c r="C38" s="27" t="s">
        <v>103</v>
      </c>
      <c r="D38" s="27" t="s">
        <v>104</v>
      </c>
      <c r="E38" s="28">
        <v>540613</v>
      </c>
      <c r="F38" s="28">
        <f>IFERROR('Project Managers'!E38*(1-'Project Managers'!H38),0)</f>
        <v>432490.36404948053</v>
      </c>
      <c r="G38" s="28">
        <f>IFERROR('Project Managers'!E38-'Project Managers'!F38,0)</f>
        <v>108122.63595051947</v>
      </c>
      <c r="H38" s="29" cm="1">
        <f t="array" ref="H38">IF(ISBLANK('Project Managers'!AO38),'Project Managers'!R38,'Project Managers'!AO38)</f>
        <v>0.20000006649954677</v>
      </c>
      <c r="I38" s="28">
        <v>511281.68</v>
      </c>
      <c r="J38" s="28">
        <v>409025.31</v>
      </c>
      <c r="K38" s="28">
        <f>IFERROR('Project Managers'!I38-'Project Managers'!J38,0)</f>
        <v>102256.37</v>
      </c>
      <c r="L38" s="29">
        <f>IFERROR('Project Managers'!K38/'Project Managers'!I38,0)</f>
        <v>0.20000006649954677</v>
      </c>
      <c r="M38" s="28">
        <v>540613</v>
      </c>
      <c r="N38" s="28">
        <f>IFERROR(IF('Project Managers'!M38-'Project Managers'!I38&gt;0,'Project Managers'!M38-'Project Managers'!I38,0),0)</f>
        <v>29331.320000000007</v>
      </c>
      <c r="O38" s="28">
        <f>IFERROR(IF('Project Managers'!M38-'Project Managers'!I38&lt;0,'Project Managers'!M38-'Project Managers'!I38,0),0)</f>
        <v>0</v>
      </c>
      <c r="P38" s="28">
        <f>IFERROR('Project Managers'!E38-'Project Managers'!I38,0)</f>
        <v>29331.320000000007</v>
      </c>
      <c r="Q38" s="29">
        <f>IFERROR(ROUND('Project Managers'!I38/'Project Managers'!E38,4),0)</f>
        <v>0.94569999999999999</v>
      </c>
      <c r="R38" s="29">
        <f>IF(ISBLANK('Project Managers'!AP38),IF('Project Managers'!I38&lt;&gt;0,('Project Managers'!I38-'Project Managers'!J38)/'Project Managers'!I38,'Project Managers'!AS38),'Project Managers'!AP38)</f>
        <v>0.20000006649954677</v>
      </c>
      <c r="S38" s="30">
        <v>0.17</v>
      </c>
      <c r="T38" s="31">
        <v>0.2</v>
      </c>
      <c r="U38" s="28">
        <f>IFERROR(-('Project Managers'!I38-('Project Managers'!J38/(1-'Project Managers'!R38))),0)</f>
        <v>-5.8207660913467407E-11</v>
      </c>
      <c r="V38" s="32">
        <v>1919.9359036000001</v>
      </c>
      <c r="W38" s="28">
        <f>IFERROR(-('Project Managers'!I38-('Project Managers'!J38/(1-'Project Managers'!T38))),0)</f>
        <v>-4.2500000039581209E-2</v>
      </c>
      <c r="X38" s="29">
        <f>IFERROR(IF('Project Managers'!AQ38="",1,'Project Managers'!AQ38),0)</f>
        <v>1</v>
      </c>
      <c r="Y38" s="30">
        <v>0.97109999999999996</v>
      </c>
      <c r="Z38" s="31">
        <v>0.95</v>
      </c>
      <c r="AA38" s="28">
        <f>IFERROR(IF('Project Managers'!Z38='Project Managers'!Q38,0,(('Project Managers'!Z38*'Project Managers'!E38)-'Project Managers'!I38)),0)</f>
        <v>2300.6699999999837</v>
      </c>
      <c r="AB38" s="28">
        <f>IFERROR(IF('Project Managers'!Z38='Project Managers'!Q38,0,('Project Managers'!AA38-('Project Managers'!AA38*'Project Managers'!L38))),0)</f>
        <v>1840.5358470064748</v>
      </c>
      <c r="AC38" s="28">
        <f>IFERROR('Project Managers'!AA38-'Project Managers'!AB38,0)</f>
        <v>460.13415299350891</v>
      </c>
      <c r="AD38" s="33">
        <f>IFERROR('Project Managers'!AC38/'Project Managers'!AA38,0)</f>
        <v>0.20000006649954671</v>
      </c>
      <c r="AE38" s="34">
        <f>IFERROR(IF('Project Managers'!Z38&lt;1,1,0),0)</f>
        <v>1</v>
      </c>
      <c r="AF38" s="35">
        <f>IFERROR(IF('Project Managers'!AE38=0,0,('Project Managers'!AE38*'Project Managers'!E38)-'Project Managers'!I38-'Project Managers'!AA38),0)</f>
        <v>27030.650000000023</v>
      </c>
      <c r="AG38" s="35">
        <f>IFERROR(IF('Project Managers'!AE38='Project Managers'!V38,0,('Project Managers'!AF38-('Project Managers'!AF38*'Project Managers'!L38))),0)</f>
        <v>21624.518202474042</v>
      </c>
      <c r="AH38" s="36">
        <f>IFERROR('Project Managers'!AF38-'Project Managers'!AG38,0)</f>
        <v>5406.1317975259808</v>
      </c>
      <c r="AI38" s="29">
        <f>IFERROR('Project Managers'!AH38/'Project Managers'!AF38,0)</f>
        <v>0.20000006649954685</v>
      </c>
      <c r="AJ38" s="31"/>
      <c r="AK38" s="28">
        <f>IFERROR(IF('Project Managers'!AJ38=0,0,('Project Managers'!AJ38*'Project Managers'!E38)-'Project Managers'!I38-'Project Managers'!AA38-'Project Managers'!AF38),0)</f>
        <v>0</v>
      </c>
      <c r="AL38" s="28">
        <f>IFERROR(IF('Project Managers'!AJ38='Project Managers'!V38,0,('Project Managers'!AK38-('Project Managers'!AK38*'Project Managers'!L38))),0)</f>
        <v>0</v>
      </c>
      <c r="AM38" s="28">
        <f>IFERROR('Project Managers'!AK38-'Project Managers'!AL38,0)</f>
        <v>0</v>
      </c>
      <c r="AN38" s="29">
        <f>IFERROR('Project Managers'!AM38/'Project Managers'!AK38,0)</f>
        <v>0</v>
      </c>
      <c r="AO38" s="37"/>
      <c r="AP38" s="37"/>
      <c r="AQ38" s="37"/>
      <c r="AR38" s="38"/>
      <c r="AS38" s="39">
        <v>0.2</v>
      </c>
    </row>
    <row r="39" spans="2:45" ht="15" customHeight="1" outlineLevel="1" x14ac:dyDescent="0.2">
      <c r="B39" s="27" t="s">
        <v>88</v>
      </c>
      <c r="C39" s="27" t="s">
        <v>105</v>
      </c>
      <c r="D39" s="27" t="s">
        <v>106</v>
      </c>
      <c r="E39" s="28">
        <v>97115</v>
      </c>
      <c r="F39" s="28">
        <f>IFERROR('Project Managers'!E39*(1-'Project Managers'!H39),0)</f>
        <v>63102.676341093284</v>
      </c>
      <c r="G39" s="28">
        <f>IFERROR('Project Managers'!E39-'Project Managers'!F39,0)</f>
        <v>34012.323658906716</v>
      </c>
      <c r="H39" s="29" cm="1">
        <f t="array" ref="H39">IF(ISBLANK('Project Managers'!AO39),'Project Managers'!R39,'Project Managers'!AO39)</f>
        <v>0.35022729402158997</v>
      </c>
      <c r="I39" s="28">
        <v>71722.080000000002</v>
      </c>
      <c r="J39" s="28">
        <v>46603.05</v>
      </c>
      <c r="K39" s="28">
        <f>IFERROR('Project Managers'!I39-'Project Managers'!J39,0)</f>
        <v>25119.03</v>
      </c>
      <c r="L39" s="29">
        <f>IFERROR('Project Managers'!K39/'Project Managers'!I39,0)</f>
        <v>0.35022729402158997</v>
      </c>
      <c r="M39" s="28">
        <v>97115</v>
      </c>
      <c r="N39" s="28">
        <f>IFERROR(IF('Project Managers'!M39-'Project Managers'!I39&gt;0,'Project Managers'!M39-'Project Managers'!I39,0),0)</f>
        <v>25392.92</v>
      </c>
      <c r="O39" s="28">
        <f>IFERROR(IF('Project Managers'!M39-'Project Managers'!I39&lt;0,'Project Managers'!M39-'Project Managers'!I39,0),0)</f>
        <v>0</v>
      </c>
      <c r="P39" s="28">
        <f>IFERROR('Project Managers'!E39-'Project Managers'!I39,0)</f>
        <v>25392.92</v>
      </c>
      <c r="Q39" s="29">
        <f>IFERROR(ROUND('Project Managers'!I39/'Project Managers'!E39,4),0)</f>
        <v>0.73850000000000005</v>
      </c>
      <c r="R39" s="29">
        <f>IF(ISBLANK('Project Managers'!AP39),IF('Project Managers'!I39&lt;&gt;0,('Project Managers'!I39-'Project Managers'!J39)/'Project Managers'!I39,'Project Managers'!AS39),'Project Managers'!AP39)</f>
        <v>0.35022729402158997</v>
      </c>
      <c r="S39" s="30">
        <v>0.15</v>
      </c>
      <c r="T39" s="31">
        <v>0.35</v>
      </c>
      <c r="U39" s="28">
        <f>IFERROR(-('Project Managers'!I39-('Project Managers'!J39/(1-'Project Managers'!R39))),0)</f>
        <v>0</v>
      </c>
      <c r="V39" s="32">
        <v>-3426.7323529</v>
      </c>
      <c r="W39" s="28">
        <f>IFERROR(-('Project Managers'!I39-('Project Managers'!J39/(1-'Project Managers'!T39))),0)</f>
        <v>-25.080000000001746</v>
      </c>
      <c r="X39" s="29">
        <f>IFERROR(IF('Project Managers'!AQ39="",1,'Project Managers'!AQ39),0)</f>
        <v>1</v>
      </c>
      <c r="Y39" s="30">
        <v>1</v>
      </c>
      <c r="Z39" s="31">
        <v>1</v>
      </c>
      <c r="AA39" s="28">
        <f>IFERROR(IF('Project Managers'!Z39='Project Managers'!Q39,0,(('Project Managers'!Z39*'Project Managers'!E39)-'Project Managers'!I39)),0)</f>
        <v>25392.92</v>
      </c>
      <c r="AB39" s="28">
        <f>IFERROR(IF('Project Managers'!Z39='Project Managers'!Q39,0,('Project Managers'!AA39-('Project Managers'!AA39*'Project Managers'!L39))),0)</f>
        <v>16499.626341093288</v>
      </c>
      <c r="AC39" s="28">
        <f>IFERROR('Project Managers'!AA39-'Project Managers'!AB39,0)</f>
        <v>8893.2936589067103</v>
      </c>
      <c r="AD39" s="33">
        <f>IFERROR('Project Managers'!AC39/'Project Managers'!AA39,0)</f>
        <v>0.35022729402158992</v>
      </c>
      <c r="AE39" s="34">
        <f>IFERROR(IF('Project Managers'!Z39&lt;1,1,0),0)</f>
        <v>0</v>
      </c>
      <c r="AF39" s="35">
        <f>IFERROR(IF('Project Managers'!AE39=0,0,('Project Managers'!AE39*'Project Managers'!E39)-'Project Managers'!I39-'Project Managers'!AA39),0)</f>
        <v>0</v>
      </c>
      <c r="AG39" s="35">
        <f>IFERROR(IF('Project Managers'!AE39='Project Managers'!V39,0,('Project Managers'!AF39-('Project Managers'!AF39*'Project Managers'!L39))),0)</f>
        <v>0</v>
      </c>
      <c r="AH39" s="36">
        <f>IFERROR('Project Managers'!AF39-'Project Managers'!AG39,0)</f>
        <v>0</v>
      </c>
      <c r="AI39" s="29">
        <f>IFERROR('Project Managers'!AH39/'Project Managers'!AF39,0)</f>
        <v>0</v>
      </c>
      <c r="AJ39" s="31"/>
      <c r="AK39" s="28">
        <f>IFERROR(IF('Project Managers'!AJ39=0,0,('Project Managers'!AJ39*'Project Managers'!E39)-'Project Managers'!I39-'Project Managers'!AA39-'Project Managers'!AF39),0)</f>
        <v>0</v>
      </c>
      <c r="AL39" s="28">
        <f>IFERROR(IF('Project Managers'!AJ39='Project Managers'!V39,0,('Project Managers'!AK39-('Project Managers'!AK39*'Project Managers'!L39))),0)</f>
        <v>0</v>
      </c>
      <c r="AM39" s="28">
        <f>IFERROR('Project Managers'!AK39-'Project Managers'!AL39,0)</f>
        <v>0</v>
      </c>
      <c r="AN39" s="29">
        <f>IFERROR('Project Managers'!AM39/'Project Managers'!AK39,0)</f>
        <v>0</v>
      </c>
      <c r="AO39" s="37"/>
      <c r="AP39" s="37"/>
      <c r="AQ39" s="37"/>
      <c r="AR39" s="38"/>
      <c r="AS39" s="39">
        <v>0.35</v>
      </c>
    </row>
    <row r="40" spans="2:45" ht="15" customHeight="1" outlineLevel="1" x14ac:dyDescent="0.2">
      <c r="B40" s="27" t="s">
        <v>88</v>
      </c>
      <c r="C40" s="27" t="s">
        <v>107</v>
      </c>
      <c r="D40" s="27" t="s">
        <v>108</v>
      </c>
      <c r="E40" s="28">
        <v>101940</v>
      </c>
      <c r="F40" s="28">
        <f>IFERROR('Project Managers'!E40*(1-'Project Managers'!H40),0)</f>
        <v>99235.31</v>
      </c>
      <c r="G40" s="28">
        <f>IFERROR('Project Managers'!E40-'Project Managers'!F40,0)</f>
        <v>2704.6900000000023</v>
      </c>
      <c r="H40" s="29" cm="1">
        <f t="array" ref="H40">IF(ISBLANK('Project Managers'!AO40),'Project Managers'!R40,'Project Managers'!AO40)</f>
        <v>2.6532175789680226E-2</v>
      </c>
      <c r="I40" s="28">
        <v>101940</v>
      </c>
      <c r="J40" s="28">
        <v>99235.31</v>
      </c>
      <c r="K40" s="28">
        <f>IFERROR('Project Managers'!I40-'Project Managers'!J40,0)</f>
        <v>2704.6900000000023</v>
      </c>
      <c r="L40" s="29">
        <f>IFERROR('Project Managers'!K40/'Project Managers'!I40,0)</f>
        <v>2.6532175789680226E-2</v>
      </c>
      <c r="M40" s="28">
        <v>101940</v>
      </c>
      <c r="N40" s="28">
        <f>IFERROR(IF('Project Managers'!M40-'Project Managers'!I40&gt;0,'Project Managers'!M40-'Project Managers'!I40,0),0)</f>
        <v>0</v>
      </c>
      <c r="O40" s="28">
        <f>IFERROR(IF('Project Managers'!M40-'Project Managers'!I40&lt;0,'Project Managers'!M40-'Project Managers'!I40,0),0)</f>
        <v>0</v>
      </c>
      <c r="P40" s="28">
        <f>IFERROR('Project Managers'!E40-'Project Managers'!I40,0)</f>
        <v>0</v>
      </c>
      <c r="Q40" s="29">
        <f>IFERROR(ROUND('Project Managers'!I40/'Project Managers'!E40,4),0)</f>
        <v>1</v>
      </c>
      <c r="R40" s="29">
        <f>IF(ISBLANK('Project Managers'!AP40),IF('Project Managers'!I40&lt;&gt;0,('Project Managers'!I40-'Project Managers'!J40)/'Project Managers'!I40,'Project Managers'!AS40),'Project Managers'!AP40)</f>
        <v>2.6532175789680226E-2</v>
      </c>
      <c r="S40" s="30">
        <v>0.15</v>
      </c>
      <c r="T40" s="31">
        <v>2.6499999999999999E-2</v>
      </c>
      <c r="U40" s="28">
        <f>IFERROR(-('Project Managers'!I40-('Project Managers'!J40/(1-'Project Managers'!R40))),0)</f>
        <v>0</v>
      </c>
      <c r="V40" s="32">
        <v>-2333.9464705999999</v>
      </c>
      <c r="W40" s="28">
        <f>IFERROR(-('Project Managers'!I40-('Project Managers'!J40/(1-'Project Managers'!T40))),0)</f>
        <v>-3.3692860811570426</v>
      </c>
      <c r="X40" s="29">
        <f>IFERROR(IF('Project Managers'!AQ40="",1,'Project Managers'!AQ40),0)</f>
        <v>1</v>
      </c>
      <c r="Y40" s="30">
        <v>1</v>
      </c>
      <c r="Z40" s="31">
        <v>1</v>
      </c>
      <c r="AA40" s="28">
        <f>IFERROR(IF('Project Managers'!Z40='Project Managers'!Q40,0,(('Project Managers'!Z40*'Project Managers'!E40)-'Project Managers'!I40)),0)</f>
        <v>0</v>
      </c>
      <c r="AB40" s="28">
        <f>IFERROR(IF('Project Managers'!Z40='Project Managers'!Q40,0,('Project Managers'!AA40-('Project Managers'!AA40*'Project Managers'!L40))),0)</f>
        <v>0</v>
      </c>
      <c r="AC40" s="28">
        <f>IFERROR('Project Managers'!AA40-'Project Managers'!AB40,0)</f>
        <v>0</v>
      </c>
      <c r="AD40" s="33">
        <f>IFERROR('Project Managers'!AC40/'Project Managers'!AA40,0)</f>
        <v>0</v>
      </c>
      <c r="AE40" s="34">
        <f>IFERROR(IF('Project Managers'!Z40&lt;1,1,0),0)</f>
        <v>0</v>
      </c>
      <c r="AF40" s="35">
        <f>IFERROR(IF('Project Managers'!AE40=0,0,('Project Managers'!AE40*'Project Managers'!E40)-'Project Managers'!I40-'Project Managers'!AA40),0)</f>
        <v>0</v>
      </c>
      <c r="AG40" s="35">
        <f>IFERROR(IF('Project Managers'!AE40='Project Managers'!V40,0,('Project Managers'!AF40-('Project Managers'!AF40*'Project Managers'!L40))),0)</f>
        <v>0</v>
      </c>
      <c r="AH40" s="36">
        <f>IFERROR('Project Managers'!AF40-'Project Managers'!AG40,0)</f>
        <v>0</v>
      </c>
      <c r="AI40" s="29">
        <f>IFERROR('Project Managers'!AH40/'Project Managers'!AF40,0)</f>
        <v>0</v>
      </c>
      <c r="AJ40" s="31"/>
      <c r="AK40" s="28">
        <f>IFERROR(IF('Project Managers'!AJ40=0,0,('Project Managers'!AJ40*'Project Managers'!E40)-'Project Managers'!I40-'Project Managers'!AA40-'Project Managers'!AF40),0)</f>
        <v>0</v>
      </c>
      <c r="AL40" s="28">
        <f>IFERROR(IF('Project Managers'!AJ40='Project Managers'!V40,0,('Project Managers'!AK40-('Project Managers'!AK40*'Project Managers'!L40))),0)</f>
        <v>0</v>
      </c>
      <c r="AM40" s="28">
        <f>IFERROR('Project Managers'!AK40-'Project Managers'!AL40,0)</f>
        <v>0</v>
      </c>
      <c r="AN40" s="29">
        <f>IFERROR('Project Managers'!AM40/'Project Managers'!AK40,0)</f>
        <v>0</v>
      </c>
      <c r="AO40" s="37"/>
      <c r="AP40" s="37"/>
      <c r="AQ40" s="37"/>
      <c r="AR40" s="38"/>
      <c r="AS40" s="39">
        <v>0.16700000000000001</v>
      </c>
    </row>
    <row r="41" spans="2:45" ht="15" customHeight="1" outlineLevel="1" x14ac:dyDescent="0.2">
      <c r="B41" s="27" t="s">
        <v>88</v>
      </c>
      <c r="C41" s="27" t="s">
        <v>109</v>
      </c>
      <c r="D41" s="27" t="s">
        <v>110</v>
      </c>
      <c r="E41" s="28">
        <v>223936.85</v>
      </c>
      <c r="F41" s="28">
        <f>IFERROR('Project Managers'!E41*(1-'Project Managers'!H41),0)</f>
        <v>186614.0636573775</v>
      </c>
      <c r="G41" s="28">
        <f>IFERROR('Project Managers'!E41-'Project Managers'!F41,0)</f>
        <v>37322.786342622509</v>
      </c>
      <c r="H41" s="29" cm="1">
        <f t="array" ref="H41">IF(ISBLANK('Project Managers'!AO41),'Project Managers'!R41,'Project Managers'!AO41)</f>
        <v>0.16666656846616582</v>
      </c>
      <c r="I41" s="28">
        <v>186692.87</v>
      </c>
      <c r="J41" s="28">
        <v>155577.41</v>
      </c>
      <c r="K41" s="28">
        <f>IFERROR('Project Managers'!I41-'Project Managers'!J41,0)</f>
        <v>31115.459999999992</v>
      </c>
      <c r="L41" s="29">
        <f>IFERROR('Project Managers'!K41/'Project Managers'!I41,0)</f>
        <v>0.16666656846616582</v>
      </c>
      <c r="M41" s="28">
        <v>223936.85</v>
      </c>
      <c r="N41" s="28">
        <f>IFERROR(IF('Project Managers'!M41-'Project Managers'!I41&gt;0,'Project Managers'!M41-'Project Managers'!I41,0),0)</f>
        <v>37243.98000000001</v>
      </c>
      <c r="O41" s="28">
        <f>IFERROR(IF('Project Managers'!M41-'Project Managers'!I41&lt;0,'Project Managers'!M41-'Project Managers'!I41,0),0)</f>
        <v>0</v>
      </c>
      <c r="P41" s="28">
        <f>IFERROR('Project Managers'!E41-'Project Managers'!I41,0)</f>
        <v>37243.98000000001</v>
      </c>
      <c r="Q41" s="29">
        <f>IFERROR(ROUND('Project Managers'!I41/'Project Managers'!E41,4),0)</f>
        <v>0.8337</v>
      </c>
      <c r="R41" s="29">
        <f>IF(ISBLANK('Project Managers'!AP41),IF('Project Managers'!I41&lt;&gt;0,('Project Managers'!I41-'Project Managers'!J41)/'Project Managers'!I41,'Project Managers'!AS41),'Project Managers'!AP41)</f>
        <v>0.16666656846616582</v>
      </c>
      <c r="S41" s="30">
        <v>0.2</v>
      </c>
      <c r="T41" s="31">
        <v>0.2</v>
      </c>
      <c r="U41" s="28">
        <f>IFERROR(-('Project Managers'!I41-('Project Managers'!J41/(1-'Project Managers'!R41))),0)</f>
        <v>0</v>
      </c>
      <c r="V41" s="32">
        <v>7778.8924999999999</v>
      </c>
      <c r="W41" s="28">
        <f>IFERROR(-('Project Managers'!I41-('Project Managers'!J41/(1-'Project Managers'!T41))),0)</f>
        <v>7778.8924999999872</v>
      </c>
      <c r="X41" s="29">
        <f>IFERROR(IF('Project Managers'!AQ41="",1,'Project Managers'!AQ41),0)</f>
        <v>1</v>
      </c>
      <c r="Y41" s="30">
        <v>1</v>
      </c>
      <c r="Z41" s="31">
        <v>1</v>
      </c>
      <c r="AA41" s="28">
        <f>IFERROR(IF('Project Managers'!Z41='Project Managers'!Q41,0,(('Project Managers'!Z41*'Project Managers'!E41)-'Project Managers'!I41)),0)</f>
        <v>37243.98000000001</v>
      </c>
      <c r="AB41" s="28">
        <f>IFERROR(IF('Project Managers'!Z41='Project Managers'!Q41,0,('Project Managers'!AA41-('Project Managers'!AA41*'Project Managers'!L41))),0)</f>
        <v>31036.653657377497</v>
      </c>
      <c r="AC41" s="28">
        <f>IFERROR('Project Managers'!AA41-'Project Managers'!AB41,0)</f>
        <v>6207.326342622513</v>
      </c>
      <c r="AD41" s="33">
        <f>IFERROR('Project Managers'!AC41/'Project Managers'!AA41,0)</f>
        <v>0.16666656846616584</v>
      </c>
      <c r="AE41" s="34">
        <f>IFERROR(IF('Project Managers'!Z41&lt;1,1,0),0)</f>
        <v>0</v>
      </c>
      <c r="AF41" s="35">
        <f>IFERROR(IF('Project Managers'!AE41=0,0,('Project Managers'!AE41*'Project Managers'!E41)-'Project Managers'!I41-'Project Managers'!AA41),0)</f>
        <v>0</v>
      </c>
      <c r="AG41" s="35">
        <f>IFERROR(IF('Project Managers'!AE41='Project Managers'!V41,0,('Project Managers'!AF41-('Project Managers'!AF41*'Project Managers'!L41))),0)</f>
        <v>0</v>
      </c>
      <c r="AH41" s="36">
        <f>IFERROR('Project Managers'!AF41-'Project Managers'!AG41,0)</f>
        <v>0</v>
      </c>
      <c r="AI41" s="29">
        <f>IFERROR('Project Managers'!AH41/'Project Managers'!AF41,0)</f>
        <v>0</v>
      </c>
      <c r="AJ41" s="31"/>
      <c r="AK41" s="28">
        <f>IFERROR(IF('Project Managers'!AJ41=0,0,('Project Managers'!AJ41*'Project Managers'!E41)-'Project Managers'!I41-'Project Managers'!AA41-'Project Managers'!AF41),0)</f>
        <v>0</v>
      </c>
      <c r="AL41" s="28">
        <f>IFERROR(IF('Project Managers'!AJ41='Project Managers'!V41,0,('Project Managers'!AK41-('Project Managers'!AK41*'Project Managers'!L41))),0)</f>
        <v>0</v>
      </c>
      <c r="AM41" s="28">
        <f>IFERROR('Project Managers'!AK41-'Project Managers'!AL41,0)</f>
        <v>0</v>
      </c>
      <c r="AN41" s="29">
        <f>IFERROR('Project Managers'!AM41/'Project Managers'!AK41,0)</f>
        <v>0</v>
      </c>
      <c r="AO41" s="37"/>
      <c r="AP41" s="37"/>
      <c r="AQ41" s="37"/>
      <c r="AR41" s="38"/>
      <c r="AS41" s="39">
        <v>0.16700000000000001</v>
      </c>
    </row>
    <row r="42" spans="2:45" ht="15" customHeight="1" outlineLevel="1" x14ac:dyDescent="0.2">
      <c r="B42" s="27" t="s">
        <v>88</v>
      </c>
      <c r="C42" s="27" t="s">
        <v>111</v>
      </c>
      <c r="D42" s="27" t="s">
        <v>112</v>
      </c>
      <c r="E42" s="28">
        <v>155587</v>
      </c>
      <c r="F42" s="28">
        <f>IFERROR('Project Managers'!E42*(1-'Project Managers'!H42),0)</f>
        <v>124469.48297185784</v>
      </c>
      <c r="G42" s="28">
        <f>IFERROR('Project Managers'!E42-'Project Managers'!F42,0)</f>
        <v>31117.51702814216</v>
      </c>
      <c r="H42" s="29" cm="1">
        <f t="array" ref="H42">IF(ISBLANK('Project Managers'!AO42),'Project Managers'!R42,'Project Managers'!AO42)</f>
        <v>0.20000075217172492</v>
      </c>
      <c r="I42" s="28">
        <v>29248.639999999999</v>
      </c>
      <c r="J42" s="28">
        <v>23398.89</v>
      </c>
      <c r="K42" s="28">
        <f>IFERROR('Project Managers'!I42-'Project Managers'!J42,0)</f>
        <v>5849.75</v>
      </c>
      <c r="L42" s="29">
        <f>IFERROR('Project Managers'!K42/'Project Managers'!I42,0)</f>
        <v>0.20000075217172492</v>
      </c>
      <c r="M42" s="28">
        <v>29762</v>
      </c>
      <c r="N42" s="28">
        <f>IFERROR(IF('Project Managers'!M42-'Project Managers'!I42&gt;0,'Project Managers'!M42-'Project Managers'!I42,0),0)</f>
        <v>513.36000000000058</v>
      </c>
      <c r="O42" s="28">
        <f>IFERROR(IF('Project Managers'!M42-'Project Managers'!I42&lt;0,'Project Managers'!M42-'Project Managers'!I42,0),0)</f>
        <v>0</v>
      </c>
      <c r="P42" s="28">
        <f>IFERROR('Project Managers'!E42-'Project Managers'!I42,0)</f>
        <v>126338.36</v>
      </c>
      <c r="Q42" s="29">
        <f>IFERROR(ROUND('Project Managers'!I42/'Project Managers'!E42,4),0)</f>
        <v>0.188</v>
      </c>
      <c r="R42" s="29">
        <f>IF(ISBLANK('Project Managers'!AP42),IF('Project Managers'!I42&lt;&gt;0,('Project Managers'!I42-'Project Managers'!J42)/'Project Managers'!I42,'Project Managers'!AS42),'Project Managers'!AP42)</f>
        <v>0.20000075217172492</v>
      </c>
      <c r="S42" s="30">
        <v>0.2</v>
      </c>
      <c r="T42" s="31">
        <v>0.2</v>
      </c>
      <c r="U42" s="28">
        <f>IFERROR(-('Project Managers'!I42-('Project Managers'!J42/(1-'Project Managers'!R42))),0)</f>
        <v>-3.637978807091713E-12</v>
      </c>
      <c r="V42" s="32">
        <v>-2.2499999999999999E-2</v>
      </c>
      <c r="W42" s="28">
        <f>IFERROR(-('Project Managers'!I42-('Project Managers'!J42/(1-'Project Managers'!T42))),0)</f>
        <v>-2.7500000000145519E-2</v>
      </c>
      <c r="X42" s="29">
        <f>IFERROR(IF('Project Managers'!AQ42="",1,'Project Managers'!AQ42),0)</f>
        <v>1</v>
      </c>
      <c r="Y42" s="30">
        <v>0.317</v>
      </c>
      <c r="Z42" s="31">
        <v>0.2</v>
      </c>
      <c r="AA42" s="28">
        <f>IFERROR(IF('Project Managers'!Z42='Project Managers'!Q42,0,(('Project Managers'!Z42*'Project Managers'!E42)-'Project Managers'!I42)),0)</f>
        <v>1868.760000000002</v>
      </c>
      <c r="AB42" s="28">
        <f>IFERROR(IF('Project Managers'!Z42='Project Managers'!Q42,0,('Project Managers'!AA42-('Project Managers'!AA42*'Project Managers'!L42))),0)</f>
        <v>1495.006594371569</v>
      </c>
      <c r="AC42" s="28">
        <f>IFERROR('Project Managers'!AA42-'Project Managers'!AB42,0)</f>
        <v>373.75340562843303</v>
      </c>
      <c r="AD42" s="33">
        <f>IFERROR('Project Managers'!AC42/'Project Managers'!AA42,0)</f>
        <v>0.20000075217172489</v>
      </c>
      <c r="AE42" s="34">
        <f>IFERROR(IF('Project Managers'!Z42&lt;1,1,0),0)</f>
        <v>1</v>
      </c>
      <c r="AF42" s="35">
        <f>IFERROR(IF('Project Managers'!AE42=0,0,('Project Managers'!AE42*'Project Managers'!E42)-'Project Managers'!I42-'Project Managers'!AA42),0)</f>
        <v>124469.6</v>
      </c>
      <c r="AG42" s="35">
        <f>IFERROR(IF('Project Managers'!AE42='Project Managers'!V42,0,('Project Managers'!AF42-('Project Managers'!AF42*'Project Managers'!L42))),0)</f>
        <v>99575.586377486266</v>
      </c>
      <c r="AH42" s="36">
        <f>IFERROR('Project Managers'!AF42-'Project Managers'!AG42,0)</f>
        <v>24894.013622513739</v>
      </c>
      <c r="AI42" s="29">
        <f>IFERROR('Project Managers'!AH42/'Project Managers'!AF42,0)</f>
        <v>0.20000075217172497</v>
      </c>
      <c r="AJ42" s="31"/>
      <c r="AK42" s="28">
        <f>IFERROR(IF('Project Managers'!AJ42=0,0,('Project Managers'!AJ42*'Project Managers'!E42)-'Project Managers'!I42-'Project Managers'!AA42-'Project Managers'!AF42),0)</f>
        <v>0</v>
      </c>
      <c r="AL42" s="28">
        <f>IFERROR(IF('Project Managers'!AJ42='Project Managers'!V42,0,('Project Managers'!AK42-('Project Managers'!AK42*'Project Managers'!L42))),0)</f>
        <v>0</v>
      </c>
      <c r="AM42" s="28">
        <f>IFERROR('Project Managers'!AK42-'Project Managers'!AL42,0)</f>
        <v>0</v>
      </c>
      <c r="AN42" s="29">
        <f>IFERROR('Project Managers'!AM42/'Project Managers'!AK42,0)</f>
        <v>0</v>
      </c>
      <c r="AO42" s="37"/>
      <c r="AP42" s="37"/>
      <c r="AQ42" s="37"/>
      <c r="AR42" s="38"/>
      <c r="AS42" s="39">
        <v>0.2</v>
      </c>
    </row>
    <row r="43" spans="2:45" ht="15" customHeight="1" outlineLevel="1" x14ac:dyDescent="0.2">
      <c r="B43" s="27" t="s">
        <v>88</v>
      </c>
      <c r="C43" s="27" t="s">
        <v>113</v>
      </c>
      <c r="D43" s="27" t="s">
        <v>114</v>
      </c>
      <c r="E43" s="28">
        <v>8047533.4900000002</v>
      </c>
      <c r="F43" s="28">
        <f>IFERROR('Project Managers'!E43*(1-'Project Managers'!H43),0)</f>
        <v>6679452.7966999998</v>
      </c>
      <c r="G43" s="28">
        <f>IFERROR('Project Managers'!E43-'Project Managers'!F43,0)</f>
        <v>1368080.6933000004</v>
      </c>
      <c r="H43" s="29" cm="1">
        <f t="array" ref="H43">IF(ISBLANK('Project Managers'!AO43),'Project Managers'!R43,'Project Managers'!AO43)</f>
        <v>0.17</v>
      </c>
      <c r="I43" s="28">
        <v>6563124.9500000002</v>
      </c>
      <c r="J43" s="28">
        <v>5446576.6299999999</v>
      </c>
      <c r="K43" s="28">
        <f>IFERROR('Project Managers'!I43-'Project Managers'!J43,0)</f>
        <v>1116548.3200000003</v>
      </c>
      <c r="L43" s="29">
        <f>IFERROR('Project Managers'!K43/'Project Managers'!I43,0)</f>
        <v>0.17012449534424912</v>
      </c>
      <c r="M43" s="28">
        <v>6409924.4400000004</v>
      </c>
      <c r="N43" s="28">
        <f>IFERROR(IF('Project Managers'!M43-'Project Managers'!I43&gt;0,'Project Managers'!M43-'Project Managers'!I43,0),0)</f>
        <v>0</v>
      </c>
      <c r="O43" s="28">
        <f>IFERROR(IF('Project Managers'!M43-'Project Managers'!I43&lt;0,'Project Managers'!M43-'Project Managers'!I43,0),0)</f>
        <v>-153200.50999999978</v>
      </c>
      <c r="P43" s="28">
        <f>IFERROR('Project Managers'!E43-'Project Managers'!I43,0)</f>
        <v>1484408.54</v>
      </c>
      <c r="Q43" s="29">
        <f>IFERROR(ROUND('Project Managers'!I43/'Project Managers'!E43,4),0)</f>
        <v>0.8155</v>
      </c>
      <c r="R43" s="29" cm="1">
        <f t="array" ref="R43">IF(ISBLANK('Project Managers'!AP43),IF('Project Managers'!I43&lt;&gt;0,('Project Managers'!I43-'Project Managers'!J43)/'Project Managers'!I43,'Project Managers'!AS43),'Project Managers'!AP43)</f>
        <v>0.22</v>
      </c>
      <c r="S43" s="30">
        <v>0.21</v>
      </c>
      <c r="T43" s="31">
        <v>0.2</v>
      </c>
      <c r="U43" s="28">
        <f>IFERROR(-('Project Managers'!I43-('Project Managers'!J43/(1-'Project Managers'!R43))),0)</f>
        <v>419665.60128205083</v>
      </c>
      <c r="V43" s="32">
        <v>71486.018354400003</v>
      </c>
      <c r="W43" s="28">
        <f>IFERROR(-('Project Managers'!I43-('Project Managers'!J43/(1-'Project Managers'!T43))),0)</f>
        <v>245095.83749999944</v>
      </c>
      <c r="X43" s="29">
        <f>IFERROR(IF('Project Managers'!AQ43="",1,'Project Managers'!AQ43),0)</f>
        <v>1</v>
      </c>
      <c r="Y43" s="30">
        <v>0.89559999999999995</v>
      </c>
      <c r="Z43" s="31">
        <v>0.9</v>
      </c>
      <c r="AA43" s="28">
        <f>IFERROR(IF('Project Managers'!Z43='Project Managers'!Q43,0,(('Project Managers'!Z43*'Project Managers'!E43)-'Project Managers'!I43)),0)</f>
        <v>679655.19100000057</v>
      </c>
      <c r="AB43" s="28">
        <f>IFERROR(IF('Project Managers'!Z43='Project Managers'!Q43,0,('Project Managers'!AA43-('Project Managers'!AA43*'Project Managers'!L43))),0)</f>
        <v>564029.19462302618</v>
      </c>
      <c r="AC43" s="28">
        <f>IFERROR('Project Managers'!AA43-'Project Managers'!AB43,0)</f>
        <v>115625.99637697439</v>
      </c>
      <c r="AD43" s="33">
        <f>IFERROR('Project Managers'!AC43/'Project Managers'!AA43,0)</f>
        <v>0.1701244953442492</v>
      </c>
      <c r="AE43" s="34">
        <f>IFERROR(IF('Project Managers'!Z43&lt;1,1,0),0)</f>
        <v>1</v>
      </c>
      <c r="AF43" s="35">
        <f>IFERROR(IF('Project Managers'!AE43=0,0,('Project Managers'!AE43*'Project Managers'!E43)-'Project Managers'!I43-'Project Managers'!AA43),0)</f>
        <v>804753.34899999946</v>
      </c>
      <c r="AG43" s="35">
        <f>IFERROR(IF('Project Managers'!AE43='Project Managers'!V43,0,('Project Managers'!AF43-('Project Managers'!AF43*'Project Managers'!L43))),0)</f>
        <v>667845.09162478021</v>
      </c>
      <c r="AH43" s="36">
        <f>IFERROR('Project Managers'!AF43-'Project Managers'!AG43,0)</f>
        <v>136908.25737521925</v>
      </c>
      <c r="AI43" s="29">
        <f>IFERROR('Project Managers'!AH43/'Project Managers'!AF43,0)</f>
        <v>0.17012449534424906</v>
      </c>
      <c r="AJ43" s="31"/>
      <c r="AK43" s="28">
        <f>IFERROR(IF('Project Managers'!AJ43=0,0,('Project Managers'!AJ43*'Project Managers'!E43)-'Project Managers'!I43-'Project Managers'!AA43-'Project Managers'!AF43),0)</f>
        <v>0</v>
      </c>
      <c r="AL43" s="28">
        <f>IFERROR(IF('Project Managers'!AJ43='Project Managers'!V43,0,('Project Managers'!AK43-('Project Managers'!AK43*'Project Managers'!L43))),0)</f>
        <v>0</v>
      </c>
      <c r="AM43" s="28">
        <f>IFERROR('Project Managers'!AK43-'Project Managers'!AL43,0)</f>
        <v>0</v>
      </c>
      <c r="AN43" s="29">
        <f>IFERROR('Project Managers'!AM43/'Project Managers'!AK43,0)</f>
        <v>0</v>
      </c>
      <c r="AO43" s="37">
        <v>0.17</v>
      </c>
      <c r="AP43" s="37">
        <v>0.22</v>
      </c>
      <c r="AQ43" s="37"/>
      <c r="AR43" s="38"/>
      <c r="AS43" s="39">
        <v>0.17</v>
      </c>
    </row>
    <row r="44" spans="2:45" ht="15" customHeight="1" outlineLevel="1" x14ac:dyDescent="0.2">
      <c r="B44" s="27" t="s">
        <v>88</v>
      </c>
      <c r="C44" s="27" t="s">
        <v>115</v>
      </c>
      <c r="D44" s="27" t="s">
        <v>116</v>
      </c>
      <c r="E44" s="28">
        <v>161110</v>
      </c>
      <c r="F44" s="28">
        <f>IFERROR('Project Managers'!E44*(1-'Project Managers'!H44),0)</f>
        <v>128887.93104726197</v>
      </c>
      <c r="G44" s="28">
        <f>IFERROR('Project Managers'!E44-'Project Managers'!F44,0)</f>
        <v>32222.068952738031</v>
      </c>
      <c r="H44" s="29" cm="1">
        <f t="array" ref="H44">IF(ISBLANK('Project Managers'!AO44),'Project Managers'!R44,'Project Managers'!AO44)</f>
        <v>0.20000042798546358</v>
      </c>
      <c r="I44" s="28">
        <v>102807.23</v>
      </c>
      <c r="J44" s="28">
        <v>82245.740000000005</v>
      </c>
      <c r="K44" s="28">
        <f>IFERROR('Project Managers'!I44-'Project Managers'!J44,0)</f>
        <v>20561.489999999991</v>
      </c>
      <c r="L44" s="29">
        <f>IFERROR('Project Managers'!K44/'Project Managers'!I44,0)</f>
        <v>0.20000042798546358</v>
      </c>
      <c r="M44" s="28">
        <v>155528</v>
      </c>
      <c r="N44" s="28">
        <f>IFERROR(IF('Project Managers'!M44-'Project Managers'!I44&gt;0,'Project Managers'!M44-'Project Managers'!I44,0),0)</f>
        <v>52720.770000000004</v>
      </c>
      <c r="O44" s="28">
        <f>IFERROR(IF('Project Managers'!M44-'Project Managers'!I44&lt;0,'Project Managers'!M44-'Project Managers'!I44,0),0)</f>
        <v>0</v>
      </c>
      <c r="P44" s="28">
        <f>IFERROR('Project Managers'!E44-'Project Managers'!I44,0)</f>
        <v>58302.770000000004</v>
      </c>
      <c r="Q44" s="29">
        <f>IFERROR(ROUND('Project Managers'!I44/'Project Managers'!E44,4),0)</f>
        <v>0.6381</v>
      </c>
      <c r="R44" s="29">
        <f>IF(ISBLANK('Project Managers'!AP44),IF('Project Managers'!I44&lt;&gt;0,('Project Managers'!I44-'Project Managers'!J44)/'Project Managers'!I44,'Project Managers'!AS44),'Project Managers'!AP44)</f>
        <v>0.20000042798546358</v>
      </c>
      <c r="S44" s="30">
        <v>0.2</v>
      </c>
      <c r="T44" s="31">
        <v>0.22</v>
      </c>
      <c r="U44" s="28">
        <f>IFERROR(-('Project Managers'!I44-('Project Managers'!J44/(1-'Project Managers'!R44))),0)</f>
        <v>0</v>
      </c>
      <c r="V44" s="32">
        <v>-5.5E-2</v>
      </c>
      <c r="W44" s="28">
        <f>IFERROR(-('Project Managers'!I44-('Project Managers'!J44/(1-'Project Managers'!T44))),0)</f>
        <v>2636.0264102564106</v>
      </c>
      <c r="X44" s="29">
        <f>IFERROR(IF('Project Managers'!AQ44="",1,'Project Managers'!AQ44),0)</f>
        <v>1</v>
      </c>
      <c r="Y44" s="30">
        <v>0.96309999999999996</v>
      </c>
      <c r="Z44" s="31">
        <v>0.8</v>
      </c>
      <c r="AA44" s="28">
        <f>IFERROR(IF('Project Managers'!Z44='Project Managers'!Q44,0,(('Project Managers'!Z44*'Project Managers'!E44)-'Project Managers'!I44)),0)</f>
        <v>26080.770000000004</v>
      </c>
      <c r="AB44" s="28">
        <f>IFERROR(IF('Project Managers'!Z44='Project Managers'!Q44,0,('Project Managers'!AA44-('Project Managers'!AA44*'Project Managers'!L44))),0)</f>
        <v>20864.604837809566</v>
      </c>
      <c r="AC44" s="28">
        <f>IFERROR('Project Managers'!AA44-'Project Managers'!AB44,0)</f>
        <v>5216.1651621904384</v>
      </c>
      <c r="AD44" s="33">
        <f>IFERROR('Project Managers'!AC44/'Project Managers'!AA44,0)</f>
        <v>0.20000042798546352</v>
      </c>
      <c r="AE44" s="34">
        <f>IFERROR(IF('Project Managers'!Z44&lt;1,1,0),0)</f>
        <v>1</v>
      </c>
      <c r="AF44" s="35">
        <f>IFERROR(IF('Project Managers'!AE44=0,0,('Project Managers'!AE44*'Project Managers'!E44)-'Project Managers'!I44-'Project Managers'!AA44),0)</f>
        <v>32222</v>
      </c>
      <c r="AG44" s="35">
        <f>IFERROR(IF('Project Managers'!AE44='Project Managers'!V44,0,('Project Managers'!AF44-('Project Managers'!AF44*'Project Managers'!L44))),0)</f>
        <v>25777.586209452391</v>
      </c>
      <c r="AH44" s="36">
        <f>IFERROR('Project Managers'!AF44-'Project Managers'!AG44,0)</f>
        <v>6444.4137905476091</v>
      </c>
      <c r="AI44" s="29">
        <f>IFERROR('Project Managers'!AH44/'Project Managers'!AF44,0)</f>
        <v>0.20000042798546364</v>
      </c>
      <c r="AJ44" s="31"/>
      <c r="AK44" s="28">
        <f>IFERROR(IF('Project Managers'!AJ44=0,0,('Project Managers'!AJ44*'Project Managers'!E44)-'Project Managers'!I44-'Project Managers'!AA44-'Project Managers'!AF44),0)</f>
        <v>0</v>
      </c>
      <c r="AL44" s="28">
        <f>IFERROR(IF('Project Managers'!AJ44='Project Managers'!V44,0,('Project Managers'!AK44-('Project Managers'!AK44*'Project Managers'!L44))),0)</f>
        <v>0</v>
      </c>
      <c r="AM44" s="28">
        <f>IFERROR('Project Managers'!AK44-'Project Managers'!AL44,0)</f>
        <v>0</v>
      </c>
      <c r="AN44" s="29">
        <f>IFERROR('Project Managers'!AM44/'Project Managers'!AK44,0)</f>
        <v>0</v>
      </c>
      <c r="AO44" s="37"/>
      <c r="AP44" s="37"/>
      <c r="AQ44" s="37"/>
      <c r="AR44" s="38"/>
      <c r="AS44" s="39">
        <v>0.2</v>
      </c>
    </row>
    <row r="45" spans="2:45" ht="15" customHeight="1" outlineLevel="1" x14ac:dyDescent="0.2">
      <c r="B45" s="27" t="s">
        <v>88</v>
      </c>
      <c r="C45" s="27" t="s">
        <v>117</v>
      </c>
      <c r="D45" s="27" t="s">
        <v>118</v>
      </c>
      <c r="E45" s="28">
        <v>70972.070000000007</v>
      </c>
      <c r="F45" s="28">
        <f>IFERROR('Project Managers'!E45*(1-'Project Managers'!H45),0)</f>
        <v>71113.38</v>
      </c>
      <c r="G45" s="28">
        <f>IFERROR('Project Managers'!E45-'Project Managers'!F45,0)</f>
        <v>-141.30999999999767</v>
      </c>
      <c r="H45" s="29" cm="1">
        <f t="array" ref="H45">IF(ISBLANK('Project Managers'!AO45),'Project Managers'!R45,'Project Managers'!AO45)</f>
        <v>-1.9910649358261309E-3</v>
      </c>
      <c r="I45" s="28">
        <v>70972.070000000007</v>
      </c>
      <c r="J45" s="28">
        <v>71113.38</v>
      </c>
      <c r="K45" s="28">
        <f>IFERROR('Project Managers'!I45-'Project Managers'!J45,0)</f>
        <v>-141.30999999999767</v>
      </c>
      <c r="L45" s="29">
        <f>IFERROR('Project Managers'!K45/'Project Managers'!I45,0)</f>
        <v>-1.9910649358261309E-3</v>
      </c>
      <c r="M45" s="28">
        <v>70972.070000000007</v>
      </c>
      <c r="N45" s="28">
        <f>IFERROR(IF('Project Managers'!M45-'Project Managers'!I45&gt;0,'Project Managers'!M45-'Project Managers'!I45,0),0)</f>
        <v>0</v>
      </c>
      <c r="O45" s="28">
        <f>IFERROR(IF('Project Managers'!M45-'Project Managers'!I45&lt;0,'Project Managers'!M45-'Project Managers'!I45,0),0)</f>
        <v>0</v>
      </c>
      <c r="P45" s="28">
        <f>IFERROR('Project Managers'!E45-'Project Managers'!I45,0)</f>
        <v>0</v>
      </c>
      <c r="Q45" s="29">
        <f>IFERROR(ROUND('Project Managers'!I45/'Project Managers'!E45,4),0)</f>
        <v>1</v>
      </c>
      <c r="R45" s="29">
        <f>IF(ISBLANK('Project Managers'!AP45),IF('Project Managers'!I45&lt;&gt;0,('Project Managers'!I45-'Project Managers'!J45)/'Project Managers'!I45,'Project Managers'!AS45),'Project Managers'!AP45)</f>
        <v>-1.9910649358261309E-3</v>
      </c>
      <c r="S45" s="30">
        <v>0.25</v>
      </c>
      <c r="T45" s="31">
        <v>0</v>
      </c>
      <c r="U45" s="28">
        <f>IFERROR(-('Project Managers'!I45-('Project Managers'!J45/(1-'Project Managers'!R45))),0)</f>
        <v>0</v>
      </c>
      <c r="V45" s="32">
        <v>19975.103333300001</v>
      </c>
      <c r="W45" s="28">
        <f>IFERROR(-('Project Managers'!I45-('Project Managers'!J45/(1-'Project Managers'!T45))),0)</f>
        <v>141.30999999999767</v>
      </c>
      <c r="X45" s="29">
        <f>IFERROR(IF('Project Managers'!AQ45="",1,'Project Managers'!AQ45),0)</f>
        <v>1</v>
      </c>
      <c r="Y45" s="30">
        <v>1</v>
      </c>
      <c r="Z45" s="31">
        <v>1</v>
      </c>
      <c r="AA45" s="28">
        <f>IFERROR(IF('Project Managers'!Z45='Project Managers'!Q45,0,(('Project Managers'!Z45*'Project Managers'!E45)-'Project Managers'!I45)),0)</f>
        <v>0</v>
      </c>
      <c r="AB45" s="28">
        <f>IFERROR(IF('Project Managers'!Z45='Project Managers'!Q45,0,('Project Managers'!AA45-('Project Managers'!AA45*'Project Managers'!L45))),0)</f>
        <v>0</v>
      </c>
      <c r="AC45" s="28">
        <f>IFERROR('Project Managers'!AA45-'Project Managers'!AB45,0)</f>
        <v>0</v>
      </c>
      <c r="AD45" s="33">
        <f>IFERROR('Project Managers'!AC45/'Project Managers'!AA45,0)</f>
        <v>0</v>
      </c>
      <c r="AE45" s="34">
        <f>IFERROR(IF('Project Managers'!Z45&lt;1,1,0),0)</f>
        <v>0</v>
      </c>
      <c r="AF45" s="35">
        <f>IFERROR(IF('Project Managers'!AE45=0,0,('Project Managers'!AE45*'Project Managers'!E45)-'Project Managers'!I45-'Project Managers'!AA45),0)</f>
        <v>0</v>
      </c>
      <c r="AG45" s="35">
        <f>IFERROR(IF('Project Managers'!AE45='Project Managers'!V45,0,('Project Managers'!AF45-('Project Managers'!AF45*'Project Managers'!L45))),0)</f>
        <v>0</v>
      </c>
      <c r="AH45" s="36">
        <f>IFERROR('Project Managers'!AF45-'Project Managers'!AG45,0)</f>
        <v>0</v>
      </c>
      <c r="AI45" s="29">
        <f>IFERROR('Project Managers'!AH45/'Project Managers'!AF45,0)</f>
        <v>0</v>
      </c>
      <c r="AJ45" s="31"/>
      <c r="AK45" s="28">
        <f>IFERROR(IF('Project Managers'!AJ45=0,0,('Project Managers'!AJ45*'Project Managers'!E45)-'Project Managers'!I45-'Project Managers'!AA45-'Project Managers'!AF45),0)</f>
        <v>0</v>
      </c>
      <c r="AL45" s="28">
        <f>IFERROR(IF('Project Managers'!AJ45='Project Managers'!V45,0,('Project Managers'!AK45-('Project Managers'!AK45*'Project Managers'!L45))),0)</f>
        <v>0</v>
      </c>
      <c r="AM45" s="28">
        <f>IFERROR('Project Managers'!AK45-'Project Managers'!AL45,0)</f>
        <v>0</v>
      </c>
      <c r="AN45" s="29">
        <f>IFERROR('Project Managers'!AM45/'Project Managers'!AK45,0)</f>
        <v>0</v>
      </c>
      <c r="AO45" s="37"/>
      <c r="AP45" s="37"/>
      <c r="AQ45" s="37"/>
      <c r="AR45" s="38"/>
      <c r="AS45" s="39"/>
    </row>
    <row r="46" spans="2:45" ht="15" customHeight="1" outlineLevel="1" x14ac:dyDescent="0.2">
      <c r="B46" s="27" t="s">
        <v>88</v>
      </c>
      <c r="C46" s="27" t="s">
        <v>119</v>
      </c>
      <c r="D46" s="27" t="s">
        <v>120</v>
      </c>
      <c r="E46" s="28">
        <v>22500</v>
      </c>
      <c r="F46" s="28">
        <f>IFERROR('Project Managers'!E46*(1-'Project Managers'!H46),0)</f>
        <v>17999.956943567366</v>
      </c>
      <c r="G46" s="28">
        <f>IFERROR('Project Managers'!E46-'Project Managers'!F46,0)</f>
        <v>4500.0430564326343</v>
      </c>
      <c r="H46" s="29" cm="1">
        <f t="array" ref="H46">IF(ISBLANK('Project Managers'!AO46),'Project Managers'!R46,'Project Managers'!AO46)</f>
        <v>0.20000191361922809</v>
      </c>
      <c r="I46" s="28">
        <v>9406.26</v>
      </c>
      <c r="J46" s="28">
        <v>7524.99</v>
      </c>
      <c r="K46" s="28">
        <f>IFERROR('Project Managers'!I46-'Project Managers'!J46,0)</f>
        <v>1881.2700000000004</v>
      </c>
      <c r="L46" s="29">
        <f>IFERROR('Project Managers'!K46/'Project Managers'!I46,0)</f>
        <v>0.20000191361922809</v>
      </c>
      <c r="M46" s="28">
        <v>22500</v>
      </c>
      <c r="N46" s="28">
        <f>IFERROR(IF('Project Managers'!M46-'Project Managers'!I46&gt;0,'Project Managers'!M46-'Project Managers'!I46,0),0)</f>
        <v>13093.74</v>
      </c>
      <c r="O46" s="28">
        <f>IFERROR(IF('Project Managers'!M46-'Project Managers'!I46&lt;0,'Project Managers'!M46-'Project Managers'!I46,0),0)</f>
        <v>0</v>
      </c>
      <c r="P46" s="28">
        <f>IFERROR('Project Managers'!E46-'Project Managers'!I46,0)</f>
        <v>13093.74</v>
      </c>
      <c r="Q46" s="29">
        <f>IFERROR(ROUND('Project Managers'!I46/'Project Managers'!E46,4),0)</f>
        <v>0.41810000000000003</v>
      </c>
      <c r="R46" s="29">
        <f>IF(ISBLANK('Project Managers'!AP46),IF('Project Managers'!I46&lt;&gt;0,('Project Managers'!I46-'Project Managers'!J46)/'Project Managers'!I46,'Project Managers'!AS46),'Project Managers'!AP46)</f>
        <v>0.20000191361922809</v>
      </c>
      <c r="S46" s="30">
        <v>0.2</v>
      </c>
      <c r="T46" s="31">
        <v>0.3</v>
      </c>
      <c r="U46" s="28">
        <f>IFERROR(-('Project Managers'!I46-('Project Managers'!J46/(1-'Project Managers'!R46))),0)</f>
        <v>0</v>
      </c>
      <c r="V46" s="32">
        <v>-0.01</v>
      </c>
      <c r="W46" s="28">
        <f>IFERROR(-('Project Managers'!I46-('Project Managers'!J46/(1-'Project Managers'!T46))),0)</f>
        <v>1343.7257142857143</v>
      </c>
      <c r="X46" s="29">
        <f>IFERROR(IF('Project Managers'!AQ46="",1,'Project Managers'!AQ46),0)</f>
        <v>1</v>
      </c>
      <c r="Y46" s="30">
        <v>0.63419999999999999</v>
      </c>
      <c r="Z46" s="31">
        <v>0.5</v>
      </c>
      <c r="AA46" s="28">
        <f>IFERROR(IF('Project Managers'!Z46='Project Managers'!Q46,0,(('Project Managers'!Z46*'Project Managers'!E46)-'Project Managers'!I46)),0)</f>
        <v>1843.7399999999998</v>
      </c>
      <c r="AB46" s="28">
        <f>IFERROR(IF('Project Managers'!Z46='Project Managers'!Q46,0,('Project Managers'!AA46-('Project Managers'!AA46*'Project Managers'!L46))),0)</f>
        <v>1474.9884717836842</v>
      </c>
      <c r="AC46" s="28">
        <f>IFERROR('Project Managers'!AA46-'Project Managers'!AB46,0)</f>
        <v>368.75152821631559</v>
      </c>
      <c r="AD46" s="33">
        <f>IFERROR('Project Managers'!AC46/'Project Managers'!AA46,0)</f>
        <v>0.20000191361922812</v>
      </c>
      <c r="AE46" s="34">
        <f>IFERROR(IF('Project Managers'!Z46&lt;1,1,0),0)</f>
        <v>1</v>
      </c>
      <c r="AF46" s="35">
        <f>IFERROR(IF('Project Managers'!AE46=0,0,('Project Managers'!AE46*'Project Managers'!E46)-'Project Managers'!I46-'Project Managers'!AA46),0)</f>
        <v>11250</v>
      </c>
      <c r="AG46" s="35">
        <f>IFERROR(IF('Project Managers'!AE46='Project Managers'!V46,0,('Project Managers'!AF46-('Project Managers'!AF46*'Project Managers'!L46))),0)</f>
        <v>8999.9784717836847</v>
      </c>
      <c r="AH46" s="36">
        <f>IFERROR('Project Managers'!AF46-'Project Managers'!AG46,0)</f>
        <v>2250.0215282163153</v>
      </c>
      <c r="AI46" s="29">
        <f>IFERROR('Project Managers'!AH46/'Project Managers'!AF46,0)</f>
        <v>0.20000191361922803</v>
      </c>
      <c r="AJ46" s="31"/>
      <c r="AK46" s="28">
        <f>IFERROR(IF('Project Managers'!AJ46=0,0,('Project Managers'!AJ46*'Project Managers'!E46)-'Project Managers'!I46-'Project Managers'!AA46-'Project Managers'!AF46),0)</f>
        <v>0</v>
      </c>
      <c r="AL46" s="28">
        <f>IFERROR(IF('Project Managers'!AJ46='Project Managers'!V46,0,('Project Managers'!AK46-('Project Managers'!AK46*'Project Managers'!L46))),0)</f>
        <v>0</v>
      </c>
      <c r="AM46" s="28">
        <f>IFERROR('Project Managers'!AK46-'Project Managers'!AL46,0)</f>
        <v>0</v>
      </c>
      <c r="AN46" s="29">
        <f>IFERROR('Project Managers'!AM46/'Project Managers'!AK46,0)</f>
        <v>0</v>
      </c>
      <c r="AO46" s="37"/>
      <c r="AP46" s="37"/>
      <c r="AQ46" s="37"/>
      <c r="AR46" s="38"/>
      <c r="AS46" s="39">
        <v>0.2</v>
      </c>
    </row>
    <row r="47" spans="2:45" ht="15" customHeight="1" outlineLevel="1" x14ac:dyDescent="0.2">
      <c r="B47" s="27" t="s">
        <v>88</v>
      </c>
      <c r="C47" s="27" t="s">
        <v>121</v>
      </c>
      <c r="D47" s="27" t="s">
        <v>122</v>
      </c>
      <c r="E47" s="28">
        <v>70673.08</v>
      </c>
      <c r="F47" s="28">
        <f>IFERROR('Project Managers'!E47*(1-'Project Managers'!H47),0)</f>
        <v>56538.453447581756</v>
      </c>
      <c r="G47" s="28">
        <f>IFERROR('Project Managers'!E47-'Project Managers'!F47,0)</f>
        <v>14134.626552418245</v>
      </c>
      <c r="H47" s="29" cm="1">
        <f t="array" ref="H47">IF(ISBLANK('Project Managers'!AO47),'Project Managers'!R47,'Project Managers'!AO47)</f>
        <v>0.20000014931312241</v>
      </c>
      <c r="I47" s="28">
        <v>66973.350000000006</v>
      </c>
      <c r="J47" s="28">
        <v>53578.67</v>
      </c>
      <c r="K47" s="28">
        <f>IFERROR('Project Managers'!I47-'Project Managers'!J47,0)</f>
        <v>13394.680000000008</v>
      </c>
      <c r="L47" s="29">
        <f>IFERROR('Project Managers'!K47/'Project Managers'!I47,0)</f>
        <v>0.20000014931312241</v>
      </c>
      <c r="M47" s="28">
        <v>37427.440000000002</v>
      </c>
      <c r="N47" s="28">
        <f>IFERROR(IF('Project Managers'!M47-'Project Managers'!I47&gt;0,'Project Managers'!M47-'Project Managers'!I47,0),0)</f>
        <v>0</v>
      </c>
      <c r="O47" s="28">
        <f>IFERROR(IF('Project Managers'!M47-'Project Managers'!I47&lt;0,'Project Managers'!M47-'Project Managers'!I47,0),0)</f>
        <v>-29545.910000000003</v>
      </c>
      <c r="P47" s="28">
        <f>IFERROR('Project Managers'!E47-'Project Managers'!I47,0)</f>
        <v>3699.7299999999959</v>
      </c>
      <c r="Q47" s="29">
        <f>IFERROR(ROUND('Project Managers'!I47/'Project Managers'!E47,4),0)</f>
        <v>0.94769999999999999</v>
      </c>
      <c r="R47" s="29">
        <f>IF(ISBLANK('Project Managers'!AP47),IF('Project Managers'!I47&lt;&gt;0,('Project Managers'!I47-'Project Managers'!J47)/'Project Managers'!I47,'Project Managers'!AS47),'Project Managers'!AP47)</f>
        <v>0.20000014931312241</v>
      </c>
      <c r="S47" s="30">
        <v>0.2</v>
      </c>
      <c r="T47" s="31">
        <v>0.2</v>
      </c>
      <c r="U47" s="28">
        <f>IFERROR(-('Project Managers'!I47-('Project Managers'!J47/(1-'Project Managers'!R47))),0)</f>
        <v>0</v>
      </c>
      <c r="V47" s="32">
        <v>-7.4999999999999997E-3</v>
      </c>
      <c r="W47" s="28">
        <f>IFERROR(-('Project Managers'!I47-('Project Managers'!J47/(1-'Project Managers'!T47))),0)</f>
        <v>-1.2500000011641532E-2</v>
      </c>
      <c r="X47" s="29">
        <f>IFERROR(IF('Project Managers'!AQ47="",1,'Project Managers'!AQ47),0)</f>
        <v>1</v>
      </c>
      <c r="Y47" s="30">
        <v>0.49769999999999998</v>
      </c>
      <c r="Z47" s="31">
        <v>1</v>
      </c>
      <c r="AA47" s="28">
        <f>IFERROR(IF('Project Managers'!Z47='Project Managers'!Q47,0,(('Project Managers'!Z47*'Project Managers'!E47)-'Project Managers'!I47)),0)</f>
        <v>3699.7299999999959</v>
      </c>
      <c r="AB47" s="28">
        <f>IFERROR(IF('Project Managers'!Z47='Project Managers'!Q47,0,('Project Managers'!AA47-('Project Managers'!AA47*'Project Managers'!L47))),0)</f>
        <v>2959.7834475817585</v>
      </c>
      <c r="AC47" s="28">
        <f>IFERROR('Project Managers'!AA47-'Project Managers'!AB47,0)</f>
        <v>739.94655241823739</v>
      </c>
      <c r="AD47" s="33">
        <f>IFERROR('Project Managers'!AC47/'Project Managers'!AA47,0)</f>
        <v>0.20000014931312238</v>
      </c>
      <c r="AE47" s="34">
        <f>IFERROR(IF('Project Managers'!Z47&lt;1,1,0),0)</f>
        <v>0</v>
      </c>
      <c r="AF47" s="35">
        <f>IFERROR(IF('Project Managers'!AE47=0,0,('Project Managers'!AE47*'Project Managers'!E47)-'Project Managers'!I47-'Project Managers'!AA47),0)</f>
        <v>0</v>
      </c>
      <c r="AG47" s="35">
        <f>IFERROR(IF('Project Managers'!AE47='Project Managers'!V47,0,('Project Managers'!AF47-('Project Managers'!AF47*'Project Managers'!L47))),0)</f>
        <v>0</v>
      </c>
      <c r="AH47" s="36">
        <f>IFERROR('Project Managers'!AF47-'Project Managers'!AG47,0)</f>
        <v>0</v>
      </c>
      <c r="AI47" s="29">
        <f>IFERROR('Project Managers'!AH47/'Project Managers'!AF47,0)</f>
        <v>0</v>
      </c>
      <c r="AJ47" s="31"/>
      <c r="AK47" s="28">
        <f>IFERROR(IF('Project Managers'!AJ47=0,0,('Project Managers'!AJ47*'Project Managers'!E47)-'Project Managers'!I47-'Project Managers'!AA47-'Project Managers'!AF47),0)</f>
        <v>0</v>
      </c>
      <c r="AL47" s="28">
        <f>IFERROR(IF('Project Managers'!AJ47='Project Managers'!V47,0,('Project Managers'!AK47-('Project Managers'!AK47*'Project Managers'!L47))),0)</f>
        <v>0</v>
      </c>
      <c r="AM47" s="28">
        <f>IFERROR('Project Managers'!AK47-'Project Managers'!AL47,0)</f>
        <v>0</v>
      </c>
      <c r="AN47" s="29">
        <f>IFERROR('Project Managers'!AM47/'Project Managers'!AK47,0)</f>
        <v>0</v>
      </c>
      <c r="AO47" s="37"/>
      <c r="AP47" s="37"/>
      <c r="AQ47" s="37"/>
      <c r="AR47" s="38"/>
      <c r="AS47" s="39">
        <v>0.2</v>
      </c>
    </row>
    <row r="48" spans="2:45" ht="15" customHeight="1" outlineLevel="1" x14ac:dyDescent="0.2">
      <c r="B48" s="27" t="s">
        <v>88</v>
      </c>
      <c r="C48" s="27" t="s">
        <v>123</v>
      </c>
      <c r="D48" s="27" t="s">
        <v>124</v>
      </c>
      <c r="E48" s="28">
        <v>846</v>
      </c>
      <c r="F48" s="28">
        <f>IFERROR('Project Managers'!E48*(1-'Project Managers'!H48),0)</f>
        <v>761.4</v>
      </c>
      <c r="G48" s="28">
        <f>IFERROR('Project Managers'!E48-'Project Managers'!F48,0)</f>
        <v>84.600000000000023</v>
      </c>
      <c r="H48" s="29" cm="1">
        <f t="array" ref="H48">IF(ISBLANK('Project Managers'!AO48),'Project Managers'!R48,'Project Managers'!AO48)</f>
        <v>0.1</v>
      </c>
      <c r="I48" s="28"/>
      <c r="J48" s="28"/>
      <c r="K48" s="28">
        <f>IFERROR('Project Managers'!I48-'Project Managers'!J48,0)</f>
        <v>0</v>
      </c>
      <c r="L48" s="29">
        <f>IFERROR('Project Managers'!K48/'Project Managers'!I48,0)</f>
        <v>0</v>
      </c>
      <c r="M48" s="28">
        <v>846</v>
      </c>
      <c r="N48" s="28">
        <f>IFERROR(IF('Project Managers'!M48-'Project Managers'!I48&gt;0,'Project Managers'!M48-'Project Managers'!I48,0),0)</f>
        <v>846</v>
      </c>
      <c r="O48" s="28">
        <f>IFERROR(IF('Project Managers'!M48-'Project Managers'!I48&lt;0,'Project Managers'!M48-'Project Managers'!I48,0),0)</f>
        <v>0</v>
      </c>
      <c r="P48" s="28">
        <f>IFERROR('Project Managers'!E48-'Project Managers'!I48,0)</f>
        <v>846</v>
      </c>
      <c r="Q48" s="29">
        <f>IFERROR(ROUND('Project Managers'!I48/'Project Managers'!E48,4),0)</f>
        <v>0</v>
      </c>
      <c r="R48" s="29" cm="1">
        <f t="array" ref="R48">IF(ISBLANK('Project Managers'!AP48),IF('Project Managers'!I48&lt;&gt;0,('Project Managers'!I48-'Project Managers'!J48)/'Project Managers'!I48,'Project Managers'!AS48),'Project Managers'!AP48)</f>
        <v>0.1</v>
      </c>
      <c r="S48" s="30">
        <v>0.1</v>
      </c>
      <c r="T48" s="31">
        <v>0.25</v>
      </c>
      <c r="U48" s="28">
        <f>IFERROR(-('Project Managers'!I48-('Project Managers'!J48/(1-'Project Managers'!R48))),0)</f>
        <v>0</v>
      </c>
      <c r="V48" s="32">
        <v>0</v>
      </c>
      <c r="W48" s="28">
        <f>IFERROR(-('Project Managers'!I48-('Project Managers'!J48/(1-'Project Managers'!T48))),0)</f>
        <v>0</v>
      </c>
      <c r="X48" s="29">
        <f>IFERROR(IF('Project Managers'!AQ48="",1,'Project Managers'!AQ48),0)</f>
        <v>1</v>
      </c>
      <c r="Y48" s="30">
        <v>0.15</v>
      </c>
      <c r="Z48" s="31">
        <v>1</v>
      </c>
      <c r="AA48" s="28">
        <f>IFERROR(IF('Project Managers'!Z48='Project Managers'!Q48,0,(('Project Managers'!Z48*'Project Managers'!E48)-'Project Managers'!I48)),0)</f>
        <v>846</v>
      </c>
      <c r="AB48" s="28">
        <f>IFERROR(IF('Project Managers'!Z48='Project Managers'!Q48,0,('Project Managers'!AA48-('Project Managers'!AA48*'Project Managers'!L48))),0)</f>
        <v>846</v>
      </c>
      <c r="AC48" s="28">
        <f>IFERROR('Project Managers'!AA48-'Project Managers'!AB48,0)</f>
        <v>0</v>
      </c>
      <c r="AD48" s="33">
        <f>IFERROR('Project Managers'!AC48/'Project Managers'!AA48,0)</f>
        <v>0</v>
      </c>
      <c r="AE48" s="34">
        <f>IFERROR(IF('Project Managers'!Z48&lt;1,1,0),0)</f>
        <v>0</v>
      </c>
      <c r="AF48" s="35">
        <f>IFERROR(IF('Project Managers'!AE48=0,0,('Project Managers'!AE48*'Project Managers'!E48)-'Project Managers'!I48-'Project Managers'!AA48),0)</f>
        <v>0</v>
      </c>
      <c r="AG48" s="35">
        <f>IFERROR(IF('Project Managers'!AE48='Project Managers'!V48,0,('Project Managers'!AF48-('Project Managers'!AF48*'Project Managers'!L48))),0)</f>
        <v>0</v>
      </c>
      <c r="AH48" s="36">
        <f>IFERROR('Project Managers'!AF48-'Project Managers'!AG48,0)</f>
        <v>0</v>
      </c>
      <c r="AI48" s="29">
        <f>IFERROR('Project Managers'!AH48/'Project Managers'!AF48,0)</f>
        <v>0</v>
      </c>
      <c r="AJ48" s="31"/>
      <c r="AK48" s="28">
        <f>IFERROR(IF('Project Managers'!AJ48=0,0,('Project Managers'!AJ48*'Project Managers'!E48)-'Project Managers'!I48-'Project Managers'!AA48-'Project Managers'!AF48),0)</f>
        <v>0</v>
      </c>
      <c r="AL48" s="28">
        <f>IFERROR(IF('Project Managers'!AJ48='Project Managers'!V48,0,('Project Managers'!AK48-('Project Managers'!AK48*'Project Managers'!L48))),0)</f>
        <v>0</v>
      </c>
      <c r="AM48" s="28">
        <f>IFERROR('Project Managers'!AK48-'Project Managers'!AL48,0)</f>
        <v>0</v>
      </c>
      <c r="AN48" s="29">
        <f>IFERROR('Project Managers'!AM48/'Project Managers'!AK48,0)</f>
        <v>0</v>
      </c>
      <c r="AO48" s="37"/>
      <c r="AP48" s="37"/>
      <c r="AQ48" s="37"/>
      <c r="AR48" s="38"/>
      <c r="AS48" s="39">
        <v>0.1</v>
      </c>
    </row>
    <row r="49" spans="2:45" ht="15" customHeight="1" outlineLevel="1" x14ac:dyDescent="0.2">
      <c r="B49" s="27" t="s">
        <v>88</v>
      </c>
      <c r="C49" s="27" t="s">
        <v>125</v>
      </c>
      <c r="D49" s="27" t="s">
        <v>126</v>
      </c>
      <c r="E49" s="28">
        <v>2574</v>
      </c>
      <c r="F49" s="28">
        <f>IFERROR('Project Managers'!E49*(1-'Project Managers'!H49),0)</f>
        <v>2059.1945342485387</v>
      </c>
      <c r="G49" s="28">
        <f>IFERROR('Project Managers'!E49-'Project Managers'!F49,0)</f>
        <v>514.80546575146127</v>
      </c>
      <c r="H49" s="29" cm="1">
        <f t="array" ref="H49">IF(ISBLANK('Project Managers'!AO49),'Project Managers'!R49,'Project Managers'!AO49)</f>
        <v>0.20000212344656612</v>
      </c>
      <c r="I49" s="28">
        <v>1883.73</v>
      </c>
      <c r="J49" s="28">
        <v>1506.98</v>
      </c>
      <c r="K49" s="28">
        <f>IFERROR('Project Managers'!I49-'Project Managers'!J49,0)</f>
        <v>376.75</v>
      </c>
      <c r="L49" s="29">
        <f>IFERROR('Project Managers'!K49/'Project Managers'!I49,0)</f>
        <v>0.20000212344656612</v>
      </c>
      <c r="M49" s="28">
        <v>2574</v>
      </c>
      <c r="N49" s="28">
        <f>IFERROR(IF('Project Managers'!M49-'Project Managers'!I49&gt;0,'Project Managers'!M49-'Project Managers'!I49,0),0)</f>
        <v>690.27</v>
      </c>
      <c r="O49" s="28">
        <f>IFERROR(IF('Project Managers'!M49-'Project Managers'!I49&lt;0,'Project Managers'!M49-'Project Managers'!I49,0),0)</f>
        <v>0</v>
      </c>
      <c r="P49" s="28">
        <f>IFERROR('Project Managers'!E49-'Project Managers'!I49,0)</f>
        <v>690.27</v>
      </c>
      <c r="Q49" s="29">
        <f>IFERROR(ROUND('Project Managers'!I49/'Project Managers'!E49,4),0)</f>
        <v>0.73180000000000001</v>
      </c>
      <c r="R49" s="29">
        <f>IF(ISBLANK('Project Managers'!AP49),IF('Project Managers'!I49&lt;&gt;0,('Project Managers'!I49-'Project Managers'!J49)/'Project Managers'!I49,'Project Managers'!AS49),'Project Managers'!AP49)</f>
        <v>0.20000212344656612</v>
      </c>
      <c r="S49" s="30">
        <v>0.2</v>
      </c>
      <c r="T49" s="31">
        <v>0.2</v>
      </c>
      <c r="U49" s="28">
        <f>IFERROR(-('Project Managers'!I49-('Project Managers'!J49/(1-'Project Managers'!R49))),0)</f>
        <v>0</v>
      </c>
      <c r="V49" s="32">
        <v>0</v>
      </c>
      <c r="W49" s="28">
        <f>IFERROR(-('Project Managers'!I49-('Project Managers'!J49/(1-'Project Managers'!T49))),0)</f>
        <v>-5.0000000001091394E-3</v>
      </c>
      <c r="X49" s="29">
        <f>IFERROR(IF('Project Managers'!AQ49="",1,'Project Managers'!AQ49),0)</f>
        <v>1</v>
      </c>
      <c r="Y49" s="30">
        <v>0.3548</v>
      </c>
      <c r="Z49" s="31">
        <v>1</v>
      </c>
      <c r="AA49" s="28">
        <f>IFERROR(IF('Project Managers'!Z49='Project Managers'!Q49,0,(('Project Managers'!Z49*'Project Managers'!E49)-'Project Managers'!I49)),0)</f>
        <v>690.27</v>
      </c>
      <c r="AB49" s="28">
        <f>IFERROR(IF('Project Managers'!Z49='Project Managers'!Q49,0,('Project Managers'!AA49-('Project Managers'!AA49*'Project Managers'!L49))),0)</f>
        <v>552.21453424853883</v>
      </c>
      <c r="AC49" s="28">
        <f>IFERROR('Project Managers'!AA49-'Project Managers'!AB49,0)</f>
        <v>138.05546575146116</v>
      </c>
      <c r="AD49" s="33">
        <f>IFERROR('Project Managers'!AC49/'Project Managers'!AA49,0)</f>
        <v>0.20000212344656607</v>
      </c>
      <c r="AE49" s="34">
        <f>IFERROR(IF('Project Managers'!Z49&lt;1,1,0),0)</f>
        <v>0</v>
      </c>
      <c r="AF49" s="35">
        <f>IFERROR(IF('Project Managers'!AE49=0,0,('Project Managers'!AE49*'Project Managers'!E49)-'Project Managers'!I49-'Project Managers'!AA49),0)</f>
        <v>0</v>
      </c>
      <c r="AG49" s="35">
        <f>IFERROR(IF('Project Managers'!AE49='Project Managers'!V49,0,('Project Managers'!AF49-('Project Managers'!AF49*'Project Managers'!L49))),0)</f>
        <v>0</v>
      </c>
      <c r="AH49" s="36">
        <f>IFERROR('Project Managers'!AF49-'Project Managers'!AG49,0)</f>
        <v>0</v>
      </c>
      <c r="AI49" s="29">
        <f>IFERROR('Project Managers'!AH49/'Project Managers'!AF49,0)</f>
        <v>0</v>
      </c>
      <c r="AJ49" s="31"/>
      <c r="AK49" s="28">
        <f>IFERROR(IF('Project Managers'!AJ49=0,0,('Project Managers'!AJ49*'Project Managers'!E49)-'Project Managers'!I49-'Project Managers'!AA49-'Project Managers'!AF49),0)</f>
        <v>0</v>
      </c>
      <c r="AL49" s="28">
        <f>IFERROR(IF('Project Managers'!AJ49='Project Managers'!V49,0,('Project Managers'!AK49-('Project Managers'!AK49*'Project Managers'!L49))),0)</f>
        <v>0</v>
      </c>
      <c r="AM49" s="28">
        <f>IFERROR('Project Managers'!AK49-'Project Managers'!AL49,0)</f>
        <v>0</v>
      </c>
      <c r="AN49" s="29">
        <f>IFERROR('Project Managers'!AM49/'Project Managers'!AK49,0)</f>
        <v>0</v>
      </c>
      <c r="AO49" s="37"/>
      <c r="AP49" s="37"/>
      <c r="AQ49" s="37"/>
      <c r="AR49" s="38"/>
      <c r="AS49" s="39">
        <v>0.2</v>
      </c>
    </row>
    <row r="50" spans="2:45" ht="15" customHeight="1" outlineLevel="1" x14ac:dyDescent="0.2">
      <c r="B50" s="27" t="s">
        <v>88</v>
      </c>
      <c r="C50" s="27" t="s">
        <v>127</v>
      </c>
      <c r="D50" s="27" t="s">
        <v>128</v>
      </c>
      <c r="E50" s="28">
        <v>1212523</v>
      </c>
      <c r="F50" s="28">
        <f>IFERROR('Project Managers'!E50*(1-'Project Managers'!H50),0)</f>
        <v>1212523</v>
      </c>
      <c r="G50" s="28">
        <f>IFERROR('Project Managers'!E50-'Project Managers'!F50,0)</f>
        <v>0</v>
      </c>
      <c r="H50" s="29" cm="1">
        <f t="array" ref="H50">IF(ISBLANK('Project Managers'!AO50),'Project Managers'!R50,'Project Managers'!AO50)</f>
        <v>0</v>
      </c>
      <c r="I50" s="28"/>
      <c r="J50" s="28"/>
      <c r="K50" s="28">
        <f>IFERROR('Project Managers'!I50-'Project Managers'!J50,0)</f>
        <v>0</v>
      </c>
      <c r="L50" s="29">
        <f>IFERROR('Project Managers'!K50/'Project Managers'!I50,0)</f>
        <v>0</v>
      </c>
      <c r="M50" s="28"/>
      <c r="N50" s="28">
        <f>IFERROR(IF('Project Managers'!M50-'Project Managers'!I50&gt;0,'Project Managers'!M50-'Project Managers'!I50,0),0)</f>
        <v>0</v>
      </c>
      <c r="O50" s="28">
        <f>IFERROR(IF('Project Managers'!M50-'Project Managers'!I50&lt;0,'Project Managers'!M50-'Project Managers'!I50,0),0)</f>
        <v>0</v>
      </c>
      <c r="P50" s="28">
        <f>IFERROR('Project Managers'!E50-'Project Managers'!I50,0)</f>
        <v>1212523</v>
      </c>
      <c r="Q50" s="29">
        <f>IFERROR(ROUND('Project Managers'!I50/'Project Managers'!E50,4),0)</f>
        <v>0</v>
      </c>
      <c r="R50" s="29" cm="1">
        <f t="array" ref="R50">IF(ISBLANK('Project Managers'!AP50),IF('Project Managers'!I50&lt;&gt;0,('Project Managers'!I50-'Project Managers'!J50)/'Project Managers'!I50,'Project Managers'!AS50),'Project Managers'!AP50)</f>
        <v>0</v>
      </c>
      <c r="S50" s="30"/>
      <c r="T50" s="31">
        <v>0.2</v>
      </c>
      <c r="U50" s="28">
        <f>IFERROR(-('Project Managers'!I50-('Project Managers'!J50/(1-'Project Managers'!R50))),0)</f>
        <v>0</v>
      </c>
      <c r="V50" s="32"/>
      <c r="W50" s="28">
        <f>IFERROR(-('Project Managers'!I50-('Project Managers'!J50/(1-'Project Managers'!T50))),0)</f>
        <v>0</v>
      </c>
      <c r="X50" s="29">
        <f>IFERROR(IF('Project Managers'!AQ50="",1,'Project Managers'!AQ50),0)</f>
        <v>1</v>
      </c>
      <c r="Y50" s="30"/>
      <c r="Z50" s="31">
        <v>0.02</v>
      </c>
      <c r="AA50" s="28">
        <f>IFERROR(IF('Project Managers'!Z50='Project Managers'!Q50,0,(('Project Managers'!Z50*'Project Managers'!E50)-'Project Managers'!I50)),0)</f>
        <v>24250.46</v>
      </c>
      <c r="AB50" s="28">
        <f>IFERROR(IF('Project Managers'!Z50='Project Managers'!Q50,0,('Project Managers'!AA50-('Project Managers'!AA50*'Project Managers'!L50))),0)</f>
        <v>24250.46</v>
      </c>
      <c r="AC50" s="28">
        <f>IFERROR('Project Managers'!AA50-'Project Managers'!AB50,0)</f>
        <v>0</v>
      </c>
      <c r="AD50" s="33">
        <f>IFERROR('Project Managers'!AC50/'Project Managers'!AA50,0)</f>
        <v>0</v>
      </c>
      <c r="AE50" s="34">
        <f>IFERROR(IF('Project Managers'!Z50&lt;1,1,0),0)</f>
        <v>1</v>
      </c>
      <c r="AF50" s="35">
        <f>IFERROR(IF('Project Managers'!AE50=0,0,('Project Managers'!AE50*'Project Managers'!E50)-'Project Managers'!I50-'Project Managers'!AA50),0)</f>
        <v>1188272.54</v>
      </c>
      <c r="AG50" s="35">
        <f>IFERROR(IF('Project Managers'!AE50='Project Managers'!V50,0,('Project Managers'!AF50-('Project Managers'!AF50*'Project Managers'!L50))),0)</f>
        <v>1188272.54</v>
      </c>
      <c r="AH50" s="36">
        <f>IFERROR('Project Managers'!AF50-'Project Managers'!AG50,0)</f>
        <v>0</v>
      </c>
      <c r="AI50" s="29">
        <f>IFERROR('Project Managers'!AH50/'Project Managers'!AF50,0)</f>
        <v>0</v>
      </c>
      <c r="AJ50" s="31"/>
      <c r="AK50" s="28">
        <f>IFERROR(IF('Project Managers'!AJ50=0,0,('Project Managers'!AJ50*'Project Managers'!E50)-'Project Managers'!I50-'Project Managers'!AA50-'Project Managers'!AF50),0)</f>
        <v>0</v>
      </c>
      <c r="AL50" s="28">
        <f>IFERROR(IF('Project Managers'!AJ50='Project Managers'!V50,0,('Project Managers'!AK50-('Project Managers'!AK50*'Project Managers'!L50))),0)</f>
        <v>0</v>
      </c>
      <c r="AM50" s="28">
        <f>IFERROR('Project Managers'!AK50-'Project Managers'!AL50,0)</f>
        <v>0</v>
      </c>
      <c r="AN50" s="29">
        <f>IFERROR('Project Managers'!AM50/'Project Managers'!AK50,0)</f>
        <v>0</v>
      </c>
      <c r="AO50" s="37"/>
      <c r="AP50" s="37"/>
      <c r="AQ50" s="37"/>
      <c r="AR50" s="38"/>
      <c r="AS50" s="39"/>
    </row>
    <row r="51" spans="2:45" ht="15" customHeight="1" x14ac:dyDescent="0.2">
      <c r="B51" s="41" t="s">
        <v>129</v>
      </c>
      <c r="C51" s="42" t="s">
        <v>55</v>
      </c>
      <c r="D51" s="41" t="s">
        <v>55</v>
      </c>
      <c r="E51" s="43">
        <f t="shared" ref="E51:AM51" si="3">SUBTOTAL(9,E31:E50)</f>
        <v>25013122.879999999</v>
      </c>
      <c r="F51" s="44">
        <f t="shared" si="3"/>
        <v>20833988.505776364</v>
      </c>
      <c r="G51" s="43">
        <f t="shared" si="3"/>
        <v>4179134.3742236323</v>
      </c>
      <c r="H51" s="45" t="str" cm="1">
        <f t="array" ref="H51">IF(ISBLANK('Project Managers'!AO51),'Project Managers'!R51,'Project Managers'!AO51)</f>
        <v>-</v>
      </c>
      <c r="I51" s="43">
        <f t="shared" si="3"/>
        <v>21125528.870000005</v>
      </c>
      <c r="J51" s="43">
        <f t="shared" si="3"/>
        <v>15503368.900000006</v>
      </c>
      <c r="K51" s="43">
        <f t="shared" si="3"/>
        <v>5622159.9700000016</v>
      </c>
      <c r="L51" s="45">
        <f>IFERROR('Project Managers'!K51/'Project Managers'!I51,0)</f>
        <v>0.26613108739653535</v>
      </c>
      <c r="M51" s="43">
        <f t="shared" si="3"/>
        <v>21988338.190000001</v>
      </c>
      <c r="N51" s="43">
        <f t="shared" si="3"/>
        <v>1052466.0199999993</v>
      </c>
      <c r="O51" s="43">
        <f t="shared" si="3"/>
        <v>-189656.69999999978</v>
      </c>
      <c r="P51" s="43">
        <f t="shared" si="3"/>
        <v>3887594.0099999993</v>
      </c>
      <c r="Q51" s="45">
        <f>IFERROR(ROUND('Project Managers'!I51/'Project Managers'!E51,4),0)</f>
        <v>0.84460000000000002</v>
      </c>
      <c r="R51" s="45" t="s">
        <v>55</v>
      </c>
      <c r="S51" s="46" t="s">
        <v>55</v>
      </c>
      <c r="T51" s="47" t="s">
        <v>55</v>
      </c>
      <c r="U51" s="43">
        <f t="shared" si="3"/>
        <v>275938.61463706085</v>
      </c>
      <c r="V51" s="48">
        <f t="shared" si="3"/>
        <v>162806.28839199999</v>
      </c>
      <c r="W51" s="43">
        <f t="shared" si="3"/>
        <v>524433.74798658432</v>
      </c>
      <c r="X51" s="45" t="s">
        <v>55</v>
      </c>
      <c r="Y51" s="46" t="s">
        <v>55</v>
      </c>
      <c r="Z51" s="47" t="s">
        <v>55</v>
      </c>
      <c r="AA51" s="43">
        <f t="shared" si="3"/>
        <v>1402471.1410000005</v>
      </c>
      <c r="AB51" s="43">
        <f t="shared" si="3"/>
        <v>1080545.0656903719</v>
      </c>
      <c r="AC51" s="43">
        <f>IFERROR('Project Managers'!AA51-'Project Managers'!AB51,0)</f>
        <v>321926.07530962862</v>
      </c>
      <c r="AD51" s="49">
        <f>IFERROR('Project Managers'!AC51/'Project Managers'!AA51,0)</f>
        <v>0.22954203184536578</v>
      </c>
      <c r="AE51" s="50">
        <f>IFERROR(IF('Project Managers'!Z51&lt;1,1,0),0)</f>
        <v>0</v>
      </c>
      <c r="AF51" s="51">
        <f t="shared" si="3"/>
        <v>2485122.868999999</v>
      </c>
      <c r="AG51" s="51">
        <f t="shared" si="3"/>
        <v>2213439.3368576481</v>
      </c>
      <c r="AH51" s="52">
        <f t="shared" si="3"/>
        <v>271683.5321423508</v>
      </c>
      <c r="AI51" s="45">
        <f>IFERROR('Project Managers'!AH51/'Project Managers'!AF51,0)</f>
        <v>0.10932398374800474</v>
      </c>
      <c r="AJ51" s="53" t="s">
        <v>55</v>
      </c>
      <c r="AK51" s="43">
        <f t="shared" si="3"/>
        <v>0</v>
      </c>
      <c r="AL51" s="43">
        <f t="shared" si="3"/>
        <v>0</v>
      </c>
      <c r="AM51" s="43">
        <f t="shared" si="3"/>
        <v>0</v>
      </c>
      <c r="AN51" s="45">
        <f>IFERROR('Project Managers'!AM51/'Project Managers'!AK51,0)</f>
        <v>0</v>
      </c>
      <c r="AO51" s="54" t="s">
        <v>55</v>
      </c>
      <c r="AP51" s="54" t="s">
        <v>55</v>
      </c>
      <c r="AQ51" s="54" t="s">
        <v>55</v>
      </c>
      <c r="AR51" s="55" t="s">
        <v>55</v>
      </c>
      <c r="AS51" s="6" t="s">
        <v>55</v>
      </c>
    </row>
    <row r="52" spans="2:45" ht="15" customHeight="1" outlineLevel="1" x14ac:dyDescent="0.2">
      <c r="B52" s="27" t="s">
        <v>130</v>
      </c>
      <c r="C52" s="27" t="s">
        <v>131</v>
      </c>
      <c r="D52" s="27" t="s">
        <v>132</v>
      </c>
      <c r="E52" s="28">
        <v>0</v>
      </c>
      <c r="F52" s="28">
        <f>IFERROR('Project Managers'!E52*(1-'Project Managers'!H52),0)</f>
        <v>0</v>
      </c>
      <c r="G52" s="28">
        <f>IFERROR('Project Managers'!E52-'Project Managers'!F52,0)</f>
        <v>0</v>
      </c>
      <c r="H52" s="29" cm="1">
        <f t="array" ref="H52">IF(ISBLANK('Project Managers'!AO52),'Project Managers'!R52,'Project Managers'!AO52)</f>
        <v>0.2</v>
      </c>
      <c r="I52" s="28">
        <v>0</v>
      </c>
      <c r="J52" s="28">
        <v>0</v>
      </c>
      <c r="K52" s="28">
        <f>IFERROR('Project Managers'!I52-'Project Managers'!J52,0)</f>
        <v>0</v>
      </c>
      <c r="L52" s="29">
        <f>IFERROR('Project Managers'!K52/'Project Managers'!I52,0)</f>
        <v>0</v>
      </c>
      <c r="M52" s="28"/>
      <c r="N52" s="28">
        <f>IFERROR(IF('Project Managers'!M52-'Project Managers'!I52&gt;0,'Project Managers'!M52-'Project Managers'!I52,0),0)</f>
        <v>0</v>
      </c>
      <c r="O52" s="28">
        <f>IFERROR(IF('Project Managers'!M52-'Project Managers'!I52&lt;0,'Project Managers'!M52-'Project Managers'!I52,0),0)</f>
        <v>0</v>
      </c>
      <c r="P52" s="28">
        <f>IFERROR('Project Managers'!E52-'Project Managers'!I52,0)</f>
        <v>0</v>
      </c>
      <c r="Q52" s="29">
        <f>IFERROR(ROUND('Project Managers'!I52/'Project Managers'!E52,4),0)</f>
        <v>0</v>
      </c>
      <c r="R52" s="29" cm="1">
        <f t="array" ref="R52">IF(ISBLANK('Project Managers'!AP52),IF('Project Managers'!I52&lt;&gt;0,('Project Managers'!I52-'Project Managers'!J52)/'Project Managers'!I52,'Project Managers'!AS52),'Project Managers'!AP52)</f>
        <v>0.2</v>
      </c>
      <c r="S52" s="30">
        <v>0</v>
      </c>
      <c r="T52" s="31"/>
      <c r="U52" s="28">
        <f>IFERROR(-('Project Managers'!I52-('Project Managers'!J52/(1-'Project Managers'!R52))),0)</f>
        <v>0</v>
      </c>
      <c r="V52" s="32">
        <v>0</v>
      </c>
      <c r="W52" s="28">
        <f>IFERROR(-('Project Managers'!I52-('Project Managers'!J52/(1-'Project Managers'!T52))),0)</f>
        <v>0</v>
      </c>
      <c r="X52" s="29">
        <f>IFERROR(IF('Project Managers'!AQ52="",1,'Project Managers'!AQ52),0)</f>
        <v>1</v>
      </c>
      <c r="Y52" s="30">
        <v>0</v>
      </c>
      <c r="Z52" s="31"/>
      <c r="AA52" s="28">
        <f>IFERROR(IF('Project Managers'!Z52='Project Managers'!Q52,0,(('Project Managers'!Z52*'Project Managers'!E52)-'Project Managers'!I52)),0)</f>
        <v>0</v>
      </c>
      <c r="AB52" s="28">
        <f>IFERROR(IF('Project Managers'!Z52='Project Managers'!Q52,0,('Project Managers'!AA52-('Project Managers'!AA52*'Project Managers'!L52))),0)</f>
        <v>0</v>
      </c>
      <c r="AC52" s="28">
        <f>IFERROR('Project Managers'!AA52-'Project Managers'!AB52,0)</f>
        <v>0</v>
      </c>
      <c r="AD52" s="33">
        <f>IFERROR('Project Managers'!AC52/'Project Managers'!AA52,0)</f>
        <v>0</v>
      </c>
      <c r="AE52" s="34">
        <f>IFERROR(IF('Project Managers'!Z52&lt;1,1,0),0)</f>
        <v>1</v>
      </c>
      <c r="AF52" s="35">
        <f>IFERROR(IF('Project Managers'!AE52=0,0,('Project Managers'!AE52*'Project Managers'!E52)-'Project Managers'!I52-'Project Managers'!AA52),0)</f>
        <v>0</v>
      </c>
      <c r="AG52" s="35">
        <f>IFERROR(IF('Project Managers'!AE52='Project Managers'!V52,0,('Project Managers'!AF52-('Project Managers'!AF52*'Project Managers'!L52))),0)</f>
        <v>0</v>
      </c>
      <c r="AH52" s="36">
        <f>IFERROR('Project Managers'!AF52-'Project Managers'!AG52,0)</f>
        <v>0</v>
      </c>
      <c r="AI52" s="29">
        <f>IFERROR('Project Managers'!AH52/'Project Managers'!AF52,0)</f>
        <v>0</v>
      </c>
      <c r="AJ52" s="31"/>
      <c r="AK52" s="28">
        <f>IFERROR(IF('Project Managers'!AJ52=0,0,('Project Managers'!AJ52*'Project Managers'!E52)-'Project Managers'!I52-'Project Managers'!AA52-'Project Managers'!AF52),0)</f>
        <v>0</v>
      </c>
      <c r="AL52" s="28">
        <f>IFERROR(IF('Project Managers'!AJ52='Project Managers'!V52,0,('Project Managers'!AK52-('Project Managers'!AK52*'Project Managers'!L52))),0)</f>
        <v>0</v>
      </c>
      <c r="AM52" s="28">
        <f>IFERROR('Project Managers'!AK52-'Project Managers'!AL52,0)</f>
        <v>0</v>
      </c>
      <c r="AN52" s="29">
        <f>IFERROR('Project Managers'!AM52/'Project Managers'!AK52,0)</f>
        <v>0</v>
      </c>
      <c r="AO52" s="37"/>
      <c r="AP52" s="37"/>
      <c r="AQ52" s="37"/>
      <c r="AR52" s="38"/>
      <c r="AS52" s="39">
        <v>0.2</v>
      </c>
    </row>
    <row r="53" spans="2:45" ht="15" customHeight="1" x14ac:dyDescent="0.2">
      <c r="B53" s="41" t="s">
        <v>133</v>
      </c>
      <c r="C53" s="42" t="s">
        <v>55</v>
      </c>
      <c r="D53" s="41" t="s">
        <v>55</v>
      </c>
      <c r="E53" s="43">
        <f t="shared" ref="E53:AM53" si="4">SUBTOTAL(9,E52)</f>
        <v>0</v>
      </c>
      <c r="F53" s="44">
        <f t="shared" si="4"/>
        <v>0</v>
      </c>
      <c r="G53" s="43">
        <f t="shared" si="4"/>
        <v>0</v>
      </c>
      <c r="H53" s="45" t="str" cm="1">
        <f t="array" ref="H53">IF(ISBLANK('Project Managers'!AO53),'Project Managers'!R53,'Project Managers'!AO53)</f>
        <v>-</v>
      </c>
      <c r="I53" s="43">
        <f t="shared" si="4"/>
        <v>0</v>
      </c>
      <c r="J53" s="43">
        <f t="shared" si="4"/>
        <v>0</v>
      </c>
      <c r="K53" s="43">
        <f t="shared" si="4"/>
        <v>0</v>
      </c>
      <c r="L53" s="45">
        <f>IFERROR('Project Managers'!K53/'Project Managers'!I53,0)</f>
        <v>0</v>
      </c>
      <c r="M53" s="43">
        <f t="shared" si="4"/>
        <v>0</v>
      </c>
      <c r="N53" s="43">
        <f t="shared" si="4"/>
        <v>0</v>
      </c>
      <c r="O53" s="43">
        <f t="shared" si="4"/>
        <v>0</v>
      </c>
      <c r="P53" s="43">
        <f t="shared" si="4"/>
        <v>0</v>
      </c>
      <c r="Q53" s="45">
        <f>IFERROR(ROUND('Project Managers'!I53/'Project Managers'!E53,4),0)</f>
        <v>0</v>
      </c>
      <c r="R53" s="45" t="s">
        <v>55</v>
      </c>
      <c r="S53" s="46" t="s">
        <v>55</v>
      </c>
      <c r="T53" s="47" t="s">
        <v>55</v>
      </c>
      <c r="U53" s="43">
        <f t="shared" si="4"/>
        <v>0</v>
      </c>
      <c r="V53" s="48">
        <f t="shared" si="4"/>
        <v>0</v>
      </c>
      <c r="W53" s="43">
        <f t="shared" si="4"/>
        <v>0</v>
      </c>
      <c r="X53" s="45" t="s">
        <v>55</v>
      </c>
      <c r="Y53" s="46" t="s">
        <v>55</v>
      </c>
      <c r="Z53" s="47" t="s">
        <v>55</v>
      </c>
      <c r="AA53" s="43">
        <f t="shared" si="4"/>
        <v>0</v>
      </c>
      <c r="AB53" s="43">
        <f t="shared" si="4"/>
        <v>0</v>
      </c>
      <c r="AC53" s="43">
        <f>IFERROR('Project Managers'!AA53-'Project Managers'!AB53,0)</f>
        <v>0</v>
      </c>
      <c r="AD53" s="49">
        <f>IFERROR('Project Managers'!AC53/'Project Managers'!AA53,0)</f>
        <v>0</v>
      </c>
      <c r="AE53" s="50">
        <f>IFERROR(IF('Project Managers'!Z53&lt;1,1,0),0)</f>
        <v>0</v>
      </c>
      <c r="AF53" s="51">
        <f t="shared" si="4"/>
        <v>0</v>
      </c>
      <c r="AG53" s="51">
        <f t="shared" si="4"/>
        <v>0</v>
      </c>
      <c r="AH53" s="52">
        <f t="shared" si="4"/>
        <v>0</v>
      </c>
      <c r="AI53" s="45">
        <f>IFERROR('Project Managers'!AH53/'Project Managers'!AF53,0)</f>
        <v>0</v>
      </c>
      <c r="AJ53" s="53" t="s">
        <v>55</v>
      </c>
      <c r="AK53" s="43">
        <f t="shared" si="4"/>
        <v>0</v>
      </c>
      <c r="AL53" s="43">
        <f t="shared" si="4"/>
        <v>0</v>
      </c>
      <c r="AM53" s="43">
        <f t="shared" si="4"/>
        <v>0</v>
      </c>
      <c r="AN53" s="45">
        <f>IFERROR('Project Managers'!AM53/'Project Managers'!AK53,0)</f>
        <v>0</v>
      </c>
      <c r="AO53" s="54" t="s">
        <v>55</v>
      </c>
      <c r="AP53" s="54" t="s">
        <v>55</v>
      </c>
      <c r="AQ53" s="54" t="s">
        <v>55</v>
      </c>
      <c r="AR53" s="55" t="s">
        <v>55</v>
      </c>
      <c r="AS53" s="6" t="s">
        <v>55</v>
      </c>
    </row>
    <row r="54" spans="2:45" ht="15" customHeight="1" x14ac:dyDescent="0.2">
      <c r="B54" s="41" t="s">
        <v>134</v>
      </c>
      <c r="C54" s="42" t="s">
        <v>55</v>
      </c>
      <c r="D54" s="41" t="s">
        <v>55</v>
      </c>
      <c r="E54" s="43">
        <f t="shared" ref="E54:AM54" si="5">SUBTOTAL(9,E12:E13,E15:E17,E19:E20,E22:E25,E27:E29,E31:E50,E52)</f>
        <v>118333062.43999998</v>
      </c>
      <c r="F54" s="44">
        <f t="shared" si="5"/>
        <v>97702071.666488767</v>
      </c>
      <c r="G54" s="43">
        <f t="shared" si="5"/>
        <v>20630990.773511246</v>
      </c>
      <c r="H54" s="45" t="str" cm="1">
        <f t="array" ref="H54">IF(ISBLANK('Project Managers'!AO54),'Project Managers'!R54,'Project Managers'!AO54)</f>
        <v>-</v>
      </c>
      <c r="I54" s="43">
        <f t="shared" si="5"/>
        <v>83449271.740000024</v>
      </c>
      <c r="J54" s="43">
        <f t="shared" si="5"/>
        <v>67341286.709999979</v>
      </c>
      <c r="K54" s="43">
        <f t="shared" si="5"/>
        <v>16107985.029999997</v>
      </c>
      <c r="L54" s="45">
        <f>IFERROR('Project Managers'!K54/'Project Managers'!I54,0)</f>
        <v>0.19302726907176712</v>
      </c>
      <c r="M54" s="43">
        <f t="shared" si="5"/>
        <v>86642983.269999981</v>
      </c>
      <c r="N54" s="43">
        <f t="shared" si="5"/>
        <v>3642642.8499999992</v>
      </c>
      <c r="O54" s="43">
        <f t="shared" si="5"/>
        <v>-448931.31999999983</v>
      </c>
      <c r="P54" s="43">
        <f t="shared" si="5"/>
        <v>34883790.70000001</v>
      </c>
      <c r="Q54" s="45">
        <f>IFERROR(ROUND('Project Managers'!I54/'Project Managers'!E54,4),0)</f>
        <v>0.70520000000000005</v>
      </c>
      <c r="R54" s="45" t="s">
        <v>55</v>
      </c>
      <c r="S54" s="46" t="s">
        <v>55</v>
      </c>
      <c r="T54" s="47" t="s">
        <v>55</v>
      </c>
      <c r="U54" s="43">
        <f t="shared" si="5"/>
        <v>3922768.2656687321</v>
      </c>
      <c r="V54" s="48">
        <f t="shared" si="5"/>
        <v>367645.66586309992</v>
      </c>
      <c r="W54" s="43">
        <f t="shared" si="5"/>
        <v>509684.13534437935</v>
      </c>
      <c r="X54" s="45" t="s">
        <v>55</v>
      </c>
      <c r="Y54" s="46" t="s">
        <v>55</v>
      </c>
      <c r="Z54" s="47" t="s">
        <v>55</v>
      </c>
      <c r="AA54" s="43">
        <f t="shared" si="5"/>
        <v>4221053.736800001</v>
      </c>
      <c r="AB54" s="43">
        <f t="shared" si="5"/>
        <v>3294176.7934882133</v>
      </c>
      <c r="AC54" s="43">
        <f>IFERROR('Project Managers'!AA54-'Project Managers'!AB54,0)</f>
        <v>926876.94331178768</v>
      </c>
      <c r="AD54" s="49">
        <f>IFERROR('Project Managers'!AC54/'Project Managers'!AA54,0)</f>
        <v>0.21958425575848203</v>
      </c>
      <c r="AE54" s="50">
        <f>IFERROR(IF('Project Managers'!Z54&lt;1,1,0),0)</f>
        <v>0</v>
      </c>
      <c r="AF54" s="51">
        <f t="shared" si="5"/>
        <v>30662736.963199995</v>
      </c>
      <c r="AG54" s="51">
        <f t="shared" si="5"/>
        <v>25652287.609459728</v>
      </c>
      <c r="AH54" s="52">
        <f t="shared" si="5"/>
        <v>5010449.3537402637</v>
      </c>
      <c r="AI54" s="45">
        <f>IFERROR('Project Managers'!AH54/'Project Managers'!AF54,0)</f>
        <v>0.16340515720281507</v>
      </c>
      <c r="AJ54" s="53" t="s">
        <v>55</v>
      </c>
      <c r="AK54" s="43">
        <f t="shared" si="5"/>
        <v>0</v>
      </c>
      <c r="AL54" s="43">
        <f t="shared" si="5"/>
        <v>0</v>
      </c>
      <c r="AM54" s="43">
        <f t="shared" si="5"/>
        <v>0</v>
      </c>
      <c r="AN54" s="45">
        <f>IFERROR('Project Managers'!AM54/'Project Managers'!AK54,0)</f>
        <v>0</v>
      </c>
      <c r="AO54" s="54" t="s">
        <v>55</v>
      </c>
      <c r="AP54" s="54" t="s">
        <v>55</v>
      </c>
      <c r="AQ54" s="54" t="s">
        <v>55</v>
      </c>
      <c r="AR54" s="55" t="s">
        <v>55</v>
      </c>
      <c r="AS54" s="6" t="s">
        <v>55</v>
      </c>
    </row>
  </sheetData>
  <mergeCells count="4">
    <mergeCell ref="Y7:AD7"/>
    <mergeCell ref="E7:H7"/>
    <mergeCell ref="AJ7:AN7"/>
    <mergeCell ref="AE7:AI7"/>
  </mergeCells>
  <pageMargins left="0.7" right="0.7" top="0.75" bottom="0.75" header="0.3" footer="0.3"/>
  <pageSetup pageOrder="overThenDown" orientation="portrait"/>
  <headerFooter>
    <oddHeader>&amp;L&amp;C&amp;R</oddHeader>
    <oddFooter>&amp;L&amp;C&amp;R</oddFooter>
    <evenHeader>&amp;L&amp;C&amp;R</evenHeader>
    <evenFooter>&amp;L&amp;C&amp;R</even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57418-8C2F-A59B-9E0C-41100C8CB4F1}">
  <dimension ref="A2:AR51"/>
  <sheetViews>
    <sheetView showGridLines="0" workbookViewId="0">
      <pane xSplit="3" ySplit="15" topLeftCell="D16" activePane="bottomRight" state="frozen"/>
      <selection pane="topRight" activeCell="D1" sqref="D1"/>
      <selection pane="bottomLeft" activeCell="A16" sqref="A16"/>
      <selection pane="bottomRight" activeCell="D3" sqref="D3"/>
    </sheetView>
  </sheetViews>
  <sheetFormatPr baseColWidth="10" defaultColWidth="8.83203125" defaultRowHeight="15" customHeight="1" outlineLevelCol="1" x14ac:dyDescent="0.2"/>
  <cols>
    <col min="1" max="1" width="4.1640625" style="1" customWidth="1"/>
    <col min="2" max="2" width="34.33203125" style="1" customWidth="1"/>
    <col min="3" max="3" width="17.1640625" style="1" customWidth="1"/>
    <col min="4" max="4" width="46.1640625" style="1" customWidth="1"/>
    <col min="5" max="17" width="17.1640625" style="1" customWidth="1"/>
    <col min="18" max="18" width="17.1640625" style="1" hidden="1" customWidth="1" outlineLevel="1"/>
    <col min="19" max="19" width="17.1640625" style="1" customWidth="1" collapsed="1"/>
    <col min="20" max="20" width="17.1640625" style="1" hidden="1" customWidth="1" outlineLevel="1"/>
    <col min="21" max="21" width="17.1640625" style="1" customWidth="1" collapsed="1"/>
    <col min="22" max="22" width="17.1640625" style="1" hidden="1" customWidth="1" outlineLevel="1"/>
    <col min="23" max="23" width="17.1640625" style="1" customWidth="1" collapsed="1"/>
    <col min="24" max="37" width="17.1640625" style="1" customWidth="1"/>
    <col min="38" max="40" width="17.1640625" style="1" hidden="1" customWidth="1"/>
    <col min="41" max="41" width="41.5" style="1" customWidth="1"/>
    <col min="42" max="44" width="12.1640625" style="1" customWidth="1"/>
  </cols>
  <sheetData>
    <row r="2" spans="1:44" ht="15" customHeight="1" x14ac:dyDescent="0.2">
      <c r="H2" s="101"/>
      <c r="I2" s="102"/>
      <c r="J2" s="102"/>
      <c r="K2" s="102"/>
      <c r="L2" s="102"/>
    </row>
    <row r="3" spans="1:44" ht="15" customHeight="1" x14ac:dyDescent="0.2">
      <c r="H3" s="105" t="s">
        <v>135</v>
      </c>
      <c r="I3" s="106"/>
      <c r="J3" s="106"/>
      <c r="K3" s="106"/>
      <c r="L3" s="106"/>
    </row>
    <row r="4" spans="1:44" ht="15" customHeight="1" x14ac:dyDescent="0.2">
      <c r="H4" s="103" t="str" cm="1">
        <f t="array" ref="H4">EOperiodDate!B4</f>
        <v>2025-11-30</v>
      </c>
      <c r="I4" s="104"/>
      <c r="J4" s="104"/>
      <c r="K4" s="104"/>
      <c r="L4" s="104"/>
    </row>
    <row r="6" spans="1:44" ht="15.75" customHeight="1" x14ac:dyDescent="0.2">
      <c r="E6" s="109" t="s">
        <v>0</v>
      </c>
      <c r="F6" s="110"/>
      <c r="G6" s="110"/>
      <c r="H6" s="111"/>
      <c r="X6" s="107">
        <f>YEAR(H4)</f>
        <v>2025</v>
      </c>
      <c r="Y6" s="108"/>
      <c r="Z6" s="108"/>
      <c r="AA6" s="108"/>
      <c r="AB6" s="107">
        <f>X6+1</f>
        <v>2026</v>
      </c>
      <c r="AC6" s="108"/>
      <c r="AD6" s="108"/>
      <c r="AE6" s="108"/>
      <c r="AF6" s="108"/>
      <c r="AG6" s="107">
        <f>X6+2</f>
        <v>2027</v>
      </c>
      <c r="AH6" s="108"/>
      <c r="AI6" s="108"/>
      <c r="AJ6" s="108"/>
      <c r="AK6" s="108"/>
    </row>
    <row r="7" spans="1:44" s="58" customFormat="1" ht="29.25" customHeight="1" x14ac:dyDescent="0.2">
      <c r="A7" s="12"/>
      <c r="B7" s="16" t="str" cm="1">
        <f t="array" ref="B7">B15</f>
        <v>Division</v>
      </c>
      <c r="C7" s="14" t="str" cm="1">
        <f t="array" ref="C7">C15</f>
        <v>Job Number</v>
      </c>
      <c r="D7" s="14" t="str" cm="1">
        <f t="array" ref="D7">D15</f>
        <v>Description</v>
      </c>
      <c r="E7" s="14" t="str" cm="1">
        <f t="array" ref="E7">E15</f>
        <v>Current Contract Amount</v>
      </c>
      <c r="F7" s="14" t="str" cm="1">
        <f t="array" ref="F7">F15</f>
        <v>Estimated Cost</v>
      </c>
      <c r="G7" s="14" t="str" cm="1">
        <f t="array" ref="G7">G15</f>
        <v>Gross Margin</v>
      </c>
      <c r="H7" s="14" t="str" cm="1">
        <f t="array" ref="H7">H15</f>
        <v>GM%</v>
      </c>
      <c r="I7" s="14" t="str" cm="1">
        <f t="array" ref="I7">I15</f>
        <v xml:space="preserve">JTD Earned Revenue </v>
      </c>
      <c r="J7" s="14" t="str" cm="1">
        <f t="array" ref="J7">J15</f>
        <v>Cost to Date</v>
      </c>
      <c r="K7" s="14" t="str" cm="1">
        <f t="array" ref="K7">K15</f>
        <v>Gross Margin to Date</v>
      </c>
      <c r="L7" s="14" t="str" cm="1">
        <f t="array" ref="L7">L15</f>
        <v xml:space="preserve">GM % </v>
      </c>
      <c r="M7" s="14" t="str" cm="1">
        <f t="array" ref="M7">M15</f>
        <v>Billed Amount</v>
      </c>
      <c r="N7" s="14" t="str" cm="1">
        <f t="array" ref="N7">N15</f>
        <v>Over Billing</v>
      </c>
      <c r="O7" s="14" t="str" cm="1">
        <f t="array" ref="O7">O15</f>
        <v>(Under) Billing</v>
      </c>
      <c r="P7" s="14" t="str" cm="1">
        <f t="array" ref="P7">P15</f>
        <v>Backlog</v>
      </c>
      <c r="Q7" s="14" t="str" cm="1">
        <f t="array" ref="Q7">Q15</f>
        <v>% Complete</v>
      </c>
      <c r="R7" s="14" t="str" cm="1">
        <f t="array" ref="R7">R15</f>
        <v>PM Estimated GM %</v>
      </c>
      <c r="S7" s="14" t="str" cm="1">
        <f t="array" ref="S7">S15</f>
        <v>Revised PM Estimated GM %</v>
      </c>
      <c r="T7" s="14" t="str" cm="1">
        <f t="array" ref="T7">T15</f>
        <v>Potential Profit</v>
      </c>
      <c r="U7" s="14" t="str" cm="1">
        <f t="array" ref="U7">U15</f>
        <v xml:space="preserve">Revised Potential Profit </v>
      </c>
      <c r="V7" s="14" t="str" cm="1">
        <f t="array" ref="V7">V15</f>
        <v>% Complete @ YE</v>
      </c>
      <c r="W7" s="14" t="str" cm="1">
        <f t="array" ref="W7">W15</f>
        <v xml:space="preserve">Revised % Complete @ YE </v>
      </c>
      <c r="X7" s="14" t="s">
        <v>26</v>
      </c>
      <c r="Y7" s="14" t="s">
        <v>5</v>
      </c>
      <c r="Z7" s="14" t="s">
        <v>6</v>
      </c>
      <c r="AA7" s="59" t="s">
        <v>27</v>
      </c>
      <c r="AB7" s="14" t="s">
        <v>25</v>
      </c>
      <c r="AC7" s="14" t="s">
        <v>26</v>
      </c>
      <c r="AD7" s="14" t="s">
        <v>5</v>
      </c>
      <c r="AE7" s="14" t="s">
        <v>6</v>
      </c>
      <c r="AF7" s="59" t="s">
        <v>27</v>
      </c>
      <c r="AG7" s="14" t="s">
        <v>25</v>
      </c>
      <c r="AH7" s="14" t="s">
        <v>26</v>
      </c>
      <c r="AI7" s="14" t="s">
        <v>5</v>
      </c>
      <c r="AJ7" s="14" t="s">
        <v>6</v>
      </c>
      <c r="AK7" s="59" t="s">
        <v>27</v>
      </c>
      <c r="AL7" s="14" t="s">
        <v>27</v>
      </c>
      <c r="AM7" s="14" t="str" cm="1">
        <f t="array" ref="AM7">AM15</f>
        <v>pmestimatedgmpercentage__custom</v>
      </c>
      <c r="AN7" s="14" t="str" cm="1">
        <f t="array" ref="AN7">AN15</f>
        <v>percentagecompleteatye__custom</v>
      </c>
      <c r="AO7" s="14" t="str" cm="1">
        <f t="array" ref="AO7">AO15</f>
        <v>Comments</v>
      </c>
      <c r="AP7" s="12"/>
      <c r="AQ7" s="12"/>
      <c r="AR7" s="12"/>
    </row>
    <row r="8" spans="1:44" ht="15" hidden="1" customHeight="1" x14ac:dyDescent="0.2"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</row>
    <row r="9" spans="1:44" ht="15" hidden="1" customHeight="1" x14ac:dyDescent="0.2"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</row>
    <row r="10" spans="1:44" ht="15" hidden="1" customHeight="1" x14ac:dyDescent="0.2">
      <c r="B10" s="57"/>
      <c r="C10" s="57"/>
      <c r="D10" s="57"/>
      <c r="E10" s="57"/>
      <c r="F10" s="60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</row>
    <row r="11" spans="1:44" ht="15" hidden="1" customHeight="1" x14ac:dyDescent="0.2"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</row>
    <row r="12" spans="1:44" ht="15" hidden="1" customHeight="1" x14ac:dyDescent="0.2"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</row>
    <row r="13" spans="1:44" ht="15" hidden="1" customHeight="1" x14ac:dyDescent="0.2"/>
    <row r="14" spans="1:44" s="11" customFormat="1" ht="15.75" hidden="1" customHeight="1" x14ac:dyDescent="0.2">
      <c r="A14" s="61"/>
      <c r="B14" s="56"/>
      <c r="C14" s="56"/>
      <c r="D14" s="56"/>
      <c r="E14" s="62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62"/>
      <c r="Y14" s="56"/>
      <c r="Z14" s="56"/>
      <c r="AA14" s="56"/>
      <c r="AB14" s="62"/>
      <c r="AC14" s="56"/>
      <c r="AD14" s="56"/>
      <c r="AE14" s="56"/>
      <c r="AF14" s="56"/>
      <c r="AG14" s="62"/>
      <c r="AH14" s="56"/>
      <c r="AI14" s="56"/>
      <c r="AJ14" s="56"/>
      <c r="AK14" s="56"/>
      <c r="AL14" s="56"/>
      <c r="AM14" s="56"/>
      <c r="AN14" s="56"/>
      <c r="AO14" s="56"/>
      <c r="AP14" s="63"/>
      <c r="AQ14" s="63"/>
      <c r="AR14" s="64"/>
    </row>
    <row r="15" spans="1:44" ht="42.75" hidden="1" customHeight="1" x14ac:dyDescent="0.2">
      <c r="A15" s="65"/>
      <c r="B15" s="66" t="s">
        <v>137</v>
      </c>
      <c r="C15" s="67" t="s">
        <v>2</v>
      </c>
      <c r="D15" s="67" t="s">
        <v>3</v>
      </c>
      <c r="E15" s="68" t="s">
        <v>4</v>
      </c>
      <c r="F15" s="68" t="s">
        <v>5</v>
      </c>
      <c r="G15" s="68" t="s">
        <v>6</v>
      </c>
      <c r="H15" s="68" t="s">
        <v>7</v>
      </c>
      <c r="I15" s="69" t="s">
        <v>8</v>
      </c>
      <c r="J15" s="69" t="s">
        <v>9</v>
      </c>
      <c r="K15" s="68" t="s">
        <v>10</v>
      </c>
      <c r="L15" s="68" t="s">
        <v>11</v>
      </c>
      <c r="M15" s="69" t="s">
        <v>12</v>
      </c>
      <c r="N15" s="69" t="s">
        <v>13</v>
      </c>
      <c r="O15" s="69" t="s">
        <v>14</v>
      </c>
      <c r="P15" s="70" t="s">
        <v>15</v>
      </c>
      <c r="Q15" s="68" t="s">
        <v>16</v>
      </c>
      <c r="R15" s="71" t="s">
        <v>17</v>
      </c>
      <c r="S15" s="72" t="s">
        <v>19</v>
      </c>
      <c r="T15" s="68" t="s">
        <v>20</v>
      </c>
      <c r="U15" s="68" t="s">
        <v>22</v>
      </c>
      <c r="V15" s="68" t="s">
        <v>23</v>
      </c>
      <c r="W15" s="73" t="s">
        <v>30</v>
      </c>
      <c r="X15" s="68" t="s">
        <v>31</v>
      </c>
      <c r="Y15" s="68" t="s">
        <v>32</v>
      </c>
      <c r="Z15" s="68" t="s">
        <v>33</v>
      </c>
      <c r="AA15" s="68" t="s">
        <v>34</v>
      </c>
      <c r="AB15" s="74" t="s">
        <v>138</v>
      </c>
      <c r="AC15" s="68" t="s">
        <v>36</v>
      </c>
      <c r="AD15" s="68" t="s">
        <v>37</v>
      </c>
      <c r="AE15" s="68" t="s">
        <v>38</v>
      </c>
      <c r="AF15" s="68" t="s">
        <v>39</v>
      </c>
      <c r="AG15" s="68" t="s">
        <v>40</v>
      </c>
      <c r="AH15" s="68" t="s">
        <v>41</v>
      </c>
      <c r="AI15" s="68" t="s">
        <v>42</v>
      </c>
      <c r="AJ15" s="68" t="s">
        <v>43</v>
      </c>
      <c r="AK15" s="68" t="s">
        <v>44</v>
      </c>
      <c r="AL15" s="67" t="s">
        <v>45</v>
      </c>
      <c r="AM15" s="67" t="s">
        <v>28</v>
      </c>
      <c r="AN15" s="67" t="s">
        <v>46</v>
      </c>
      <c r="AO15" s="75" t="s">
        <v>29</v>
      </c>
      <c r="AR15" s="65"/>
    </row>
    <row r="16" spans="1:44" ht="15" customHeight="1" x14ac:dyDescent="0.2">
      <c r="A16" s="76"/>
      <c r="B16" s="27" t="s">
        <v>139</v>
      </c>
      <c r="C16" s="77" t="s">
        <v>71</v>
      </c>
      <c r="D16" s="27" t="s">
        <v>72</v>
      </c>
      <c r="E16" s="78">
        <v>1484896.81</v>
      </c>
      <c r="F16" s="78">
        <f>IFERROR(Divisions!E16*(1-Divisions!H16),0)</f>
        <v>1158219.5118</v>
      </c>
      <c r="G16" s="78">
        <f>IFERROR(Divisions!E16-Divisions!F16,0)</f>
        <v>326677.29820000008</v>
      </c>
      <c r="H16" s="79" cm="1">
        <f t="array" ref="H16">IF(ISBLANK(Divisions!AL16),Divisions!R16,Divisions!AL16)</f>
        <v>0.22</v>
      </c>
      <c r="I16" s="78">
        <v>1484896.81</v>
      </c>
      <c r="J16" s="78">
        <v>1465800.35</v>
      </c>
      <c r="K16" s="78">
        <f>IFERROR(Divisions!I16-Divisions!J16,0)</f>
        <v>19096.459999999963</v>
      </c>
      <c r="L16" s="79">
        <f>IFERROR(Divisions!K16/Divisions!I16,0)</f>
        <v>1.2860462674170578E-2</v>
      </c>
      <c r="M16" s="78">
        <v>1484896.81</v>
      </c>
      <c r="N16" s="78">
        <f>IFERROR(IF(Divisions!M16-Divisions!I16&gt;0,Divisions!M16-Divisions!I16,0),0)</f>
        <v>0</v>
      </c>
      <c r="O16" s="78">
        <f>IFERROR(IF(Divisions!M16-Divisions!I16&lt;0,Divisions!M16-Divisions!I16,0),0)</f>
        <v>0</v>
      </c>
      <c r="P16" s="78">
        <f>IFERROR(Divisions!E16-Divisions!I16,0)</f>
        <v>0</v>
      </c>
      <c r="Q16" s="79">
        <f>IFERROR(Divisions!I16/Divisions!E16,0)</f>
        <v>1</v>
      </c>
      <c r="R16" s="80">
        <f>IFERROR(_xlfn.XLOOKUP(Divisions!C16,'Project Managers'!C:C,'Project Managers'!R:R),0)</f>
        <v>0.05</v>
      </c>
      <c r="S16" s="79">
        <f>IFERROR(_xlfn.XLOOKUP(Divisions!C16,'Project Managers'!C:C,'Project Managers'!T:T),0)</f>
        <v>0.01</v>
      </c>
      <c r="T16" s="78">
        <f>IFERROR(_xlfn.XLOOKUP(Divisions!C16,'Project Managers'!C:C,'Project Managers'!U:U),0)</f>
        <v>58050.926842105342</v>
      </c>
      <c r="U16" s="78">
        <f>IFERROR(_xlfn.XLOOKUP(Divisions!C16,'Project Managers'!C:C,'Project Managers'!W:W),0)</f>
        <v>-4290.3958585858345</v>
      </c>
      <c r="V16" s="79">
        <f>IFERROR(_xlfn.XLOOKUP(Divisions!C16,'Project Managers'!C:C,'Project Managers'!X:X),0)</f>
        <v>1</v>
      </c>
      <c r="W16" s="80">
        <f>IFERROR(_xlfn.XLOOKUP(Divisions!C16,'Project Managers'!C:C,'Project Managers'!Z:Z),0)</f>
        <v>1</v>
      </c>
      <c r="X16" s="78">
        <f>IFERROR(_xlfn.XLOOKUP(Divisions!C16,'Project Managers'!C:C,'Project Managers'!AA:AA),0)</f>
        <v>0</v>
      </c>
      <c r="Y16" s="78">
        <f>IFERROR(_xlfn.XLOOKUP(Divisions!C16,'Project Managers'!C:C,'Project Managers'!AB:AB),0)</f>
        <v>0</v>
      </c>
      <c r="Z16" s="78">
        <f>IFERROR(_xlfn.XLOOKUP(Divisions!C16,'Project Managers'!C:C,'Project Managers'!AC:AC),0)</f>
        <v>0</v>
      </c>
      <c r="AA16" s="79">
        <f>IFERROR(_xlfn.XLOOKUP(Divisions!C16,'Project Managers'!C:C,'Project Managers'!AD:AD),0)</f>
        <v>0</v>
      </c>
      <c r="AB16" s="79">
        <f>IFERROR(_xlfn.XLOOKUP(Divisions!C16,'Project Managers'!C:C,'Project Managers'!AE:AE),0)</f>
        <v>0</v>
      </c>
      <c r="AC16" s="78">
        <f>IFERROR(_xlfn.XLOOKUP(Divisions!C16,'Project Managers'!C:C,'Project Managers'!AF:AF),0)</f>
        <v>0</v>
      </c>
      <c r="AD16" s="78">
        <f>IFERROR(_xlfn.XLOOKUP(Divisions!C16,'Project Managers'!C:C,'Project Managers'!AG:AG),0)</f>
        <v>0</v>
      </c>
      <c r="AE16" s="78">
        <f>IFERROR(_xlfn.XLOOKUP(Divisions!C16,'Project Managers'!C:C,'Project Managers'!AH:AH),0)</f>
        <v>0</v>
      </c>
      <c r="AF16" s="79">
        <f>IFERROR(_xlfn.XLOOKUP(Divisions!C16,'Project Managers'!C:C,'Project Managers'!AI:AI),0)</f>
        <v>0</v>
      </c>
      <c r="AG16" s="79">
        <f>IFERROR(_xlfn.XLOOKUP(Divisions!C16,'Project Managers'!C:C,'Project Managers'!AJ:AJ),0)</f>
        <v>0</v>
      </c>
      <c r="AH16" s="78">
        <f>IFERROR(_xlfn.XLOOKUP(Divisions!C16,'Project Managers'!C:C,'Project Managers'!AK:AK),0)</f>
        <v>0</v>
      </c>
      <c r="AI16" s="78">
        <f>IFERROR(_xlfn.XLOOKUP(Divisions!C16,'Project Managers'!C:C,'Project Managers'!AL:AL),0)</f>
        <v>0</v>
      </c>
      <c r="AJ16" s="78">
        <f>IFERROR(_xlfn.XLOOKUP(Divisions!C16,'Project Managers'!C:C,'Project Managers'!AM:AM),0)</f>
        <v>0</v>
      </c>
      <c r="AK16" s="79">
        <f>IFERROR(_xlfn.XLOOKUP(Divisions!C16,'Project Managers'!C:C,'Project Managers'!AN:AN),0)</f>
        <v>0</v>
      </c>
      <c r="AL16" s="81">
        <v>0.22</v>
      </c>
      <c r="AM16" s="81">
        <v>0.05</v>
      </c>
      <c r="AN16" s="81"/>
      <c r="AO16" s="82">
        <f>IFERROR(_xlfn.XLOOKUP(Divisions!C16,'Project Managers'!C:C,'Project Managers'!AR:AR),0)</f>
        <v>0</v>
      </c>
      <c r="AP16" s="76"/>
      <c r="AQ16" s="76"/>
      <c r="AR16" s="76"/>
    </row>
    <row r="17" spans="1:44" ht="15" customHeight="1" x14ac:dyDescent="0.2">
      <c r="A17" s="76"/>
      <c r="B17" s="27" t="s">
        <v>139</v>
      </c>
      <c r="C17" s="77" t="s">
        <v>73</v>
      </c>
      <c r="D17" s="27" t="s">
        <v>74</v>
      </c>
      <c r="E17" s="78">
        <v>4093979.32</v>
      </c>
      <c r="F17" s="78">
        <f>IFERROR(Divisions!E17*(1-Divisions!H17),0)</f>
        <v>3398002.8355999999</v>
      </c>
      <c r="G17" s="78">
        <f>IFERROR(Divisions!E17-Divisions!F17,0)</f>
        <v>695976.48439999996</v>
      </c>
      <c r="H17" s="79" cm="1">
        <f t="array" ref="H17">IF(ISBLANK(Divisions!AL17),Divisions!R17,Divisions!AL17)</f>
        <v>0.17</v>
      </c>
      <c r="I17" s="78">
        <v>4093633.32</v>
      </c>
      <c r="J17" s="78">
        <v>3313579.73</v>
      </c>
      <c r="K17" s="78">
        <f>IFERROR(Divisions!I17-Divisions!J17,0)</f>
        <v>780053.58999999985</v>
      </c>
      <c r="L17" s="79">
        <f>IFERROR(Divisions!K17/Divisions!I17,0)</f>
        <v>0.19055287296713713</v>
      </c>
      <c r="M17" s="78">
        <v>4093633.32</v>
      </c>
      <c r="N17" s="78">
        <f>IFERROR(IF(Divisions!M17-Divisions!I17&gt;0,Divisions!M17-Divisions!I17,0),0)</f>
        <v>0</v>
      </c>
      <c r="O17" s="78">
        <f>IFERROR(IF(Divisions!M17-Divisions!I17&lt;0,Divisions!M17-Divisions!I17,0),0)</f>
        <v>0</v>
      </c>
      <c r="P17" s="78">
        <f>IFERROR(Divisions!E17-Divisions!I17,0)</f>
        <v>346</v>
      </c>
      <c r="Q17" s="79">
        <f>IFERROR(Divisions!I17/Divisions!E17,0)</f>
        <v>0.99991548565027921</v>
      </c>
      <c r="R17" s="80">
        <f>IFERROR(_xlfn.XLOOKUP(Divisions!C17,'Project Managers'!C:C,'Project Managers'!R:R),0)</f>
        <v>0.19</v>
      </c>
      <c r="S17" s="79">
        <f>IFERROR(_xlfn.XLOOKUP(Divisions!C17,'Project Managers'!C:C,'Project Managers'!T:T),0)</f>
        <v>0.19</v>
      </c>
      <c r="T17" s="78">
        <f>IFERROR(_xlfn.XLOOKUP(Divisions!C17,'Project Managers'!C:C,'Project Managers'!U:U),0)</f>
        <v>-2794.1471604937688</v>
      </c>
      <c r="U17" s="78">
        <f>IFERROR(_xlfn.XLOOKUP(Divisions!C17,'Project Managers'!C:C,'Project Managers'!W:W),0)</f>
        <v>-2794.1471604937688</v>
      </c>
      <c r="V17" s="79">
        <f>IFERROR(_xlfn.XLOOKUP(Divisions!C17,'Project Managers'!C:C,'Project Managers'!X:X),0)</f>
        <v>1</v>
      </c>
      <c r="W17" s="80">
        <f>IFERROR(_xlfn.XLOOKUP(Divisions!C17,'Project Managers'!C:C,'Project Managers'!Z:Z),0)</f>
        <v>1</v>
      </c>
      <c r="X17" s="78">
        <f>IFERROR(_xlfn.XLOOKUP(Divisions!C17,'Project Managers'!C:C,'Project Managers'!AA:AA),0)</f>
        <v>346</v>
      </c>
      <c r="Y17" s="78">
        <f>IFERROR(_xlfn.XLOOKUP(Divisions!C17,'Project Managers'!C:C,'Project Managers'!AB:AB),0)</f>
        <v>280.06870595337057</v>
      </c>
      <c r="Z17" s="78">
        <f>IFERROR(_xlfn.XLOOKUP(Divisions!C17,'Project Managers'!C:C,'Project Managers'!AC:AC),0)</f>
        <v>65.931294046629432</v>
      </c>
      <c r="AA17" s="79">
        <f>IFERROR(_xlfn.XLOOKUP(Divisions!C17,'Project Managers'!C:C,'Project Managers'!AD:AD),0)</f>
        <v>0.19055287296713708</v>
      </c>
      <c r="AB17" s="79">
        <f>IFERROR(_xlfn.XLOOKUP(Divisions!C17,'Project Managers'!C:C,'Project Managers'!AE:AE),0)</f>
        <v>0</v>
      </c>
      <c r="AC17" s="78">
        <f>IFERROR(_xlfn.XLOOKUP(Divisions!C17,'Project Managers'!C:C,'Project Managers'!AF:AF),0)</f>
        <v>0</v>
      </c>
      <c r="AD17" s="78">
        <f>IFERROR(_xlfn.XLOOKUP(Divisions!C17,'Project Managers'!C:C,'Project Managers'!AG:AG),0)</f>
        <v>0</v>
      </c>
      <c r="AE17" s="78">
        <f>IFERROR(_xlfn.XLOOKUP(Divisions!C17,'Project Managers'!C:C,'Project Managers'!AH:AH),0)</f>
        <v>0</v>
      </c>
      <c r="AF17" s="79">
        <f>IFERROR(_xlfn.XLOOKUP(Divisions!C17,'Project Managers'!C:C,'Project Managers'!AI:AI),0)</f>
        <v>0</v>
      </c>
      <c r="AG17" s="79">
        <f>IFERROR(_xlfn.XLOOKUP(Divisions!C17,'Project Managers'!C:C,'Project Managers'!AJ:AJ),0)</f>
        <v>0</v>
      </c>
      <c r="AH17" s="78">
        <f>IFERROR(_xlfn.XLOOKUP(Divisions!C17,'Project Managers'!C:C,'Project Managers'!AK:AK),0)</f>
        <v>0</v>
      </c>
      <c r="AI17" s="78">
        <f>IFERROR(_xlfn.XLOOKUP(Divisions!C17,'Project Managers'!C:C,'Project Managers'!AL:AL),0)</f>
        <v>0</v>
      </c>
      <c r="AJ17" s="78">
        <f>IFERROR(_xlfn.XLOOKUP(Divisions!C17,'Project Managers'!C:C,'Project Managers'!AM:AM),0)</f>
        <v>0</v>
      </c>
      <c r="AK17" s="79">
        <f>IFERROR(_xlfn.XLOOKUP(Divisions!C17,'Project Managers'!C:C,'Project Managers'!AN:AN),0)</f>
        <v>0</v>
      </c>
      <c r="AL17" s="81">
        <v>0.17</v>
      </c>
      <c r="AM17" s="81">
        <v>0.19</v>
      </c>
      <c r="AN17" s="81"/>
      <c r="AO17" s="82">
        <f>IFERROR(_xlfn.XLOOKUP(Divisions!C17,'Project Managers'!C:C,'Project Managers'!AR:AR),0)</f>
        <v>0</v>
      </c>
      <c r="AP17" s="76"/>
      <c r="AQ17" s="76"/>
      <c r="AR17" s="76"/>
    </row>
    <row r="18" spans="1:44" ht="15" customHeight="1" x14ac:dyDescent="0.2">
      <c r="B18" s="27" t="s">
        <v>139</v>
      </c>
      <c r="C18" s="77" t="s">
        <v>89</v>
      </c>
      <c r="D18" s="27" t="s">
        <v>90</v>
      </c>
      <c r="E18" s="78">
        <v>898831.39</v>
      </c>
      <c r="F18" s="78">
        <f>IFERROR(Divisions!E18*(1-Divisions!H18),0)</f>
        <v>728053.42590000003</v>
      </c>
      <c r="G18" s="78">
        <f>IFERROR(Divisions!E18-Divisions!F18,0)</f>
        <v>170777.96409999998</v>
      </c>
      <c r="H18" s="79" cm="1">
        <f t="array" ref="H18">IF(ISBLANK(Divisions!AL18),Divisions!R18,Divisions!AL18)</f>
        <v>0.19</v>
      </c>
      <c r="I18" s="78">
        <v>898831.39</v>
      </c>
      <c r="J18" s="78">
        <v>744578.07</v>
      </c>
      <c r="K18" s="78">
        <f>IFERROR(Divisions!I18-Divisions!J18,0)</f>
        <v>154253.32000000007</v>
      </c>
      <c r="L18" s="79">
        <f>IFERROR(Divisions!K18/Divisions!I18,0)</f>
        <v>0.1716154127639001</v>
      </c>
      <c r="M18" s="78">
        <v>898831.39</v>
      </c>
      <c r="N18" s="78">
        <f>IFERROR(IF(Divisions!M18-Divisions!I18&gt;0,Divisions!M18-Divisions!I18,0),0)</f>
        <v>0</v>
      </c>
      <c r="O18" s="78">
        <f>IFERROR(IF(Divisions!M18-Divisions!I18&lt;0,Divisions!M18-Divisions!I18,0),0)</f>
        <v>0</v>
      </c>
      <c r="P18" s="78">
        <f>IFERROR(Divisions!E18-Divisions!I18,0)</f>
        <v>0</v>
      </c>
      <c r="Q18" s="79">
        <f>IFERROR(Divisions!I18/Divisions!E18,0)</f>
        <v>1</v>
      </c>
      <c r="R18" s="80">
        <f>IFERROR(_xlfn.XLOOKUP(Divisions!C18,'Project Managers'!C:C,'Project Managers'!R:R),0)</f>
        <v>0.17</v>
      </c>
      <c r="S18" s="79">
        <f>IFERROR(_xlfn.XLOOKUP(Divisions!C18,'Project Managers'!C:C,'Project Managers'!T:T),0)</f>
        <v>7.0000000000000007E-2</v>
      </c>
      <c r="T18" s="78">
        <f>IFERROR(_xlfn.XLOOKUP(Divisions!C18,'Project Managers'!C:C,'Project Managers'!U:U),0)</f>
        <v>-1749.3779518072261</v>
      </c>
      <c r="U18" s="78">
        <f>IFERROR(_xlfn.XLOOKUP(Divisions!C18,'Project Managers'!C:C,'Project Managers'!W:W),0)</f>
        <v>-98209.809354838682</v>
      </c>
      <c r="V18" s="79">
        <f>IFERROR(_xlfn.XLOOKUP(Divisions!C18,'Project Managers'!C:C,'Project Managers'!X:X),0)</f>
        <v>1</v>
      </c>
      <c r="W18" s="80">
        <f>IFERROR(_xlfn.XLOOKUP(Divisions!C18,'Project Managers'!C:C,'Project Managers'!Z:Z),0)</f>
        <v>1</v>
      </c>
      <c r="X18" s="78">
        <f>IFERROR(_xlfn.XLOOKUP(Divisions!C18,'Project Managers'!C:C,'Project Managers'!AA:AA),0)</f>
        <v>0</v>
      </c>
      <c r="Y18" s="78">
        <f>IFERROR(_xlfn.XLOOKUP(Divisions!C18,'Project Managers'!C:C,'Project Managers'!AB:AB),0)</f>
        <v>0</v>
      </c>
      <c r="Z18" s="78">
        <f>IFERROR(_xlfn.XLOOKUP(Divisions!C18,'Project Managers'!C:C,'Project Managers'!AC:AC),0)</f>
        <v>0</v>
      </c>
      <c r="AA18" s="79">
        <f>IFERROR(_xlfn.XLOOKUP(Divisions!C18,'Project Managers'!C:C,'Project Managers'!AD:AD),0)</f>
        <v>0</v>
      </c>
      <c r="AB18" s="79">
        <f>IFERROR(_xlfn.XLOOKUP(Divisions!C18,'Project Managers'!C:C,'Project Managers'!AE:AE),0)</f>
        <v>0</v>
      </c>
      <c r="AC18" s="78">
        <f>IFERROR(_xlfn.XLOOKUP(Divisions!C18,'Project Managers'!C:C,'Project Managers'!AF:AF),0)</f>
        <v>0</v>
      </c>
      <c r="AD18" s="78">
        <f>IFERROR(_xlfn.XLOOKUP(Divisions!C18,'Project Managers'!C:C,'Project Managers'!AG:AG),0)</f>
        <v>0</v>
      </c>
      <c r="AE18" s="78">
        <f>IFERROR(_xlfn.XLOOKUP(Divisions!C18,'Project Managers'!C:C,'Project Managers'!AH:AH),0)</f>
        <v>0</v>
      </c>
      <c r="AF18" s="79">
        <f>IFERROR(_xlfn.XLOOKUP(Divisions!C18,'Project Managers'!C:C,'Project Managers'!AI:AI),0)</f>
        <v>0</v>
      </c>
      <c r="AG18" s="79">
        <f>IFERROR(_xlfn.XLOOKUP(Divisions!C18,'Project Managers'!C:C,'Project Managers'!AJ:AJ),0)</f>
        <v>0</v>
      </c>
      <c r="AH18" s="78">
        <f>IFERROR(_xlfn.XLOOKUP(Divisions!C18,'Project Managers'!C:C,'Project Managers'!AK:AK),0)</f>
        <v>0</v>
      </c>
      <c r="AI18" s="78">
        <f>IFERROR(_xlfn.XLOOKUP(Divisions!C18,'Project Managers'!C:C,'Project Managers'!AL:AL),0)</f>
        <v>0</v>
      </c>
      <c r="AJ18" s="78">
        <f>IFERROR(_xlfn.XLOOKUP(Divisions!C18,'Project Managers'!C:C,'Project Managers'!AM:AM),0)</f>
        <v>0</v>
      </c>
      <c r="AK18" s="79">
        <f>IFERROR(_xlfn.XLOOKUP(Divisions!C18,'Project Managers'!C:C,'Project Managers'!AN:AN),0)</f>
        <v>0</v>
      </c>
      <c r="AL18" s="81">
        <v>0.19</v>
      </c>
      <c r="AM18" s="81">
        <v>0.17</v>
      </c>
      <c r="AN18" s="81"/>
      <c r="AO18" s="82">
        <f>IFERROR(_xlfn.XLOOKUP(Divisions!C18,'Project Managers'!C:C,'Project Managers'!AR:AR),0)</f>
        <v>0</v>
      </c>
    </row>
    <row r="19" spans="1:44" ht="15" customHeight="1" x14ac:dyDescent="0.2">
      <c r="B19" s="27" t="s">
        <v>139</v>
      </c>
      <c r="C19" s="77" t="s">
        <v>49</v>
      </c>
      <c r="D19" s="27" t="s">
        <v>50</v>
      </c>
      <c r="E19" s="78">
        <v>20845819.02</v>
      </c>
      <c r="F19" s="78">
        <f>IFERROR(Divisions!E19*(1-Divisions!H19),0)</f>
        <v>16885113.406199999</v>
      </c>
      <c r="G19" s="78">
        <f>IFERROR(Divisions!E19-Divisions!F19,0)</f>
        <v>3960705.6138000004</v>
      </c>
      <c r="H19" s="79" cm="1">
        <f t="array" ref="H19">IF(ISBLANK(Divisions!AL19),Divisions!R19,Divisions!AL19)</f>
        <v>0.19</v>
      </c>
      <c r="I19" s="78">
        <v>20845819.02</v>
      </c>
      <c r="J19" s="78">
        <v>16381246.529999999</v>
      </c>
      <c r="K19" s="78">
        <f>IFERROR(Divisions!I19-Divisions!J19,0)</f>
        <v>4464572.49</v>
      </c>
      <c r="L19" s="79">
        <f>IFERROR(Divisions!K19/Divisions!I19,0)</f>
        <v>0.2141711239897352</v>
      </c>
      <c r="M19" s="78">
        <v>20845819.02</v>
      </c>
      <c r="N19" s="78">
        <f>IFERROR(IF(Divisions!M19-Divisions!I19&gt;0,Divisions!M19-Divisions!I19,0),0)</f>
        <v>0</v>
      </c>
      <c r="O19" s="78">
        <f>IFERROR(IF(Divisions!M19-Divisions!I19&lt;0,Divisions!M19-Divisions!I19,0),0)</f>
        <v>0</v>
      </c>
      <c r="P19" s="78">
        <f>IFERROR(Divisions!E19-Divisions!I19,0)</f>
        <v>0</v>
      </c>
      <c r="Q19" s="79">
        <f>IFERROR(Divisions!I19/Divisions!E19,0)</f>
        <v>1</v>
      </c>
      <c r="R19" s="80">
        <f>IFERROR(_xlfn.XLOOKUP(Divisions!C19,'Project Managers'!C:C,'Project Managers'!R:R),0)</f>
        <v>0.21</v>
      </c>
      <c r="S19" s="79">
        <f>IFERROR(_xlfn.XLOOKUP(Divisions!C19,'Project Managers'!C:C,'Project Managers'!T:T),0)</f>
        <v>0.2142</v>
      </c>
      <c r="T19" s="78">
        <f>IFERROR(_xlfn.XLOOKUP(Divisions!C19,'Project Managers'!C:C,'Project Managers'!U:U),0)</f>
        <v>-110063.91873417795</v>
      </c>
      <c r="U19" s="78">
        <f>IFERROR(_xlfn.XLOOKUP(Divisions!C19,'Project Managers'!C:C,'Project Managers'!W:W),0)</f>
        <v>766.02708576992154</v>
      </c>
      <c r="V19" s="79">
        <f>IFERROR(_xlfn.XLOOKUP(Divisions!C19,'Project Managers'!C:C,'Project Managers'!X:X),0)</f>
        <v>1</v>
      </c>
      <c r="W19" s="80">
        <f>IFERROR(_xlfn.XLOOKUP(Divisions!C19,'Project Managers'!C:C,'Project Managers'!Z:Z),0)</f>
        <v>1</v>
      </c>
      <c r="X19" s="78">
        <f>IFERROR(_xlfn.XLOOKUP(Divisions!C19,'Project Managers'!C:C,'Project Managers'!AA:AA),0)</f>
        <v>0</v>
      </c>
      <c r="Y19" s="78">
        <f>IFERROR(_xlfn.XLOOKUP(Divisions!C19,'Project Managers'!C:C,'Project Managers'!AB:AB),0)</f>
        <v>0</v>
      </c>
      <c r="Z19" s="78">
        <f>IFERROR(_xlfn.XLOOKUP(Divisions!C19,'Project Managers'!C:C,'Project Managers'!AC:AC),0)</f>
        <v>0</v>
      </c>
      <c r="AA19" s="79">
        <f>IFERROR(_xlfn.XLOOKUP(Divisions!C19,'Project Managers'!C:C,'Project Managers'!AD:AD),0)</f>
        <v>0</v>
      </c>
      <c r="AB19" s="79">
        <f>IFERROR(_xlfn.XLOOKUP(Divisions!C19,'Project Managers'!C:C,'Project Managers'!AE:AE),0)</f>
        <v>0</v>
      </c>
      <c r="AC19" s="78">
        <f>IFERROR(_xlfn.XLOOKUP(Divisions!C19,'Project Managers'!C:C,'Project Managers'!AF:AF),0)</f>
        <v>0</v>
      </c>
      <c r="AD19" s="78">
        <f>IFERROR(_xlfn.XLOOKUP(Divisions!C19,'Project Managers'!C:C,'Project Managers'!AG:AG),0)</f>
        <v>0</v>
      </c>
      <c r="AE19" s="78">
        <f>IFERROR(_xlfn.XLOOKUP(Divisions!C19,'Project Managers'!C:C,'Project Managers'!AH:AH),0)</f>
        <v>0</v>
      </c>
      <c r="AF19" s="79">
        <f>IFERROR(_xlfn.XLOOKUP(Divisions!C19,'Project Managers'!C:C,'Project Managers'!AI:AI),0)</f>
        <v>0</v>
      </c>
      <c r="AG19" s="79">
        <f>IFERROR(_xlfn.XLOOKUP(Divisions!C19,'Project Managers'!C:C,'Project Managers'!AJ:AJ),0)</f>
        <v>0</v>
      </c>
      <c r="AH19" s="78">
        <f>IFERROR(_xlfn.XLOOKUP(Divisions!C19,'Project Managers'!C:C,'Project Managers'!AK:AK),0)</f>
        <v>0</v>
      </c>
      <c r="AI19" s="78">
        <f>IFERROR(_xlfn.XLOOKUP(Divisions!C19,'Project Managers'!C:C,'Project Managers'!AL:AL),0)</f>
        <v>0</v>
      </c>
      <c r="AJ19" s="78">
        <f>IFERROR(_xlfn.XLOOKUP(Divisions!C19,'Project Managers'!C:C,'Project Managers'!AM:AM),0)</f>
        <v>0</v>
      </c>
      <c r="AK19" s="79">
        <f>IFERROR(_xlfn.XLOOKUP(Divisions!C19,'Project Managers'!C:C,'Project Managers'!AN:AN),0)</f>
        <v>0</v>
      </c>
      <c r="AL19" s="81">
        <v>0.19</v>
      </c>
      <c r="AM19" s="81">
        <v>0.21</v>
      </c>
      <c r="AN19" s="81"/>
      <c r="AO19" s="82">
        <f>IFERROR(_xlfn.XLOOKUP(Divisions!C19,'Project Managers'!C:C,'Project Managers'!AR:AR),0)</f>
        <v>0</v>
      </c>
    </row>
    <row r="20" spans="1:44" ht="15" customHeight="1" x14ac:dyDescent="0.2">
      <c r="B20" s="27" t="s">
        <v>139</v>
      </c>
      <c r="C20" s="77" t="s">
        <v>91</v>
      </c>
      <c r="D20" s="27" t="s">
        <v>92</v>
      </c>
      <c r="E20" s="78">
        <v>10000</v>
      </c>
      <c r="F20" s="78">
        <f>IFERROR(Divisions!E20*(1-Divisions!H20),0)</f>
        <v>10000</v>
      </c>
      <c r="G20" s="78">
        <f>IFERROR(Divisions!E20-Divisions!F20,0)</f>
        <v>0</v>
      </c>
      <c r="H20" s="79" cm="1">
        <f t="array" ref="H20">IF(ISBLANK(Divisions!AL20),Divisions!R20,Divisions!AL20)</f>
        <v>0</v>
      </c>
      <c r="I20" s="78">
        <v>6910.28</v>
      </c>
      <c r="J20" s="78">
        <v>6910.28</v>
      </c>
      <c r="K20" s="78">
        <f>IFERROR(Divisions!I20-Divisions!J20,0)</f>
        <v>0</v>
      </c>
      <c r="L20" s="79">
        <f>IFERROR(Divisions!K20/Divisions!I20,0)</f>
        <v>0</v>
      </c>
      <c r="M20" s="78"/>
      <c r="N20" s="78">
        <f>IFERROR(IF(Divisions!M20-Divisions!I20&gt;0,Divisions!M20-Divisions!I20,0),0)</f>
        <v>0</v>
      </c>
      <c r="O20" s="78">
        <f>IFERROR(IF(Divisions!M20-Divisions!I20&lt;0,Divisions!M20-Divisions!I20,0),0)</f>
        <v>-6910.28</v>
      </c>
      <c r="P20" s="78">
        <f>IFERROR(Divisions!E20-Divisions!I20,0)</f>
        <v>3089.7200000000003</v>
      </c>
      <c r="Q20" s="79">
        <f>IFERROR(Divisions!I20/Divisions!E20,0)</f>
        <v>0.69102799999999998</v>
      </c>
      <c r="R20" s="80">
        <f>IFERROR(_xlfn.XLOOKUP(Divisions!C20,'Project Managers'!C:C,'Project Managers'!R:R),0)</f>
        <v>0</v>
      </c>
      <c r="S20" s="79">
        <f>IFERROR(_xlfn.XLOOKUP(Divisions!C20,'Project Managers'!C:C,'Project Managers'!T:T),0)</f>
        <v>0.17</v>
      </c>
      <c r="T20" s="78">
        <f>IFERROR(_xlfn.XLOOKUP(Divisions!C20,'Project Managers'!C:C,'Project Managers'!U:U),0)</f>
        <v>0</v>
      </c>
      <c r="U20" s="78">
        <f>IFERROR(_xlfn.XLOOKUP(Divisions!C20,'Project Managers'!C:C,'Project Managers'!W:W),0)</f>
        <v>1415.3585542168685</v>
      </c>
      <c r="V20" s="79">
        <f>IFERROR(_xlfn.XLOOKUP(Divisions!C20,'Project Managers'!C:C,'Project Managers'!X:X),0)</f>
        <v>1</v>
      </c>
      <c r="W20" s="80">
        <f>IFERROR(_xlfn.XLOOKUP(Divisions!C20,'Project Managers'!C:C,'Project Managers'!Z:Z),0)</f>
        <v>1</v>
      </c>
      <c r="X20" s="78">
        <f>IFERROR(_xlfn.XLOOKUP(Divisions!C20,'Project Managers'!C:C,'Project Managers'!AA:AA),0)</f>
        <v>3089.7200000000003</v>
      </c>
      <c r="Y20" s="78">
        <f>IFERROR(_xlfn.XLOOKUP(Divisions!C20,'Project Managers'!C:C,'Project Managers'!AB:AB),0)</f>
        <v>3089.7200000000003</v>
      </c>
      <c r="Z20" s="78">
        <f>IFERROR(_xlfn.XLOOKUP(Divisions!C20,'Project Managers'!C:C,'Project Managers'!AC:AC),0)</f>
        <v>0</v>
      </c>
      <c r="AA20" s="79">
        <f>IFERROR(_xlfn.XLOOKUP(Divisions!C20,'Project Managers'!C:C,'Project Managers'!AD:AD),0)</f>
        <v>0</v>
      </c>
      <c r="AB20" s="79">
        <f>IFERROR(_xlfn.XLOOKUP(Divisions!C20,'Project Managers'!C:C,'Project Managers'!AE:AE),0)</f>
        <v>0</v>
      </c>
      <c r="AC20" s="78">
        <f>IFERROR(_xlfn.XLOOKUP(Divisions!C20,'Project Managers'!C:C,'Project Managers'!AF:AF),0)</f>
        <v>0</v>
      </c>
      <c r="AD20" s="78">
        <f>IFERROR(_xlfn.XLOOKUP(Divisions!C20,'Project Managers'!C:C,'Project Managers'!AG:AG),0)</f>
        <v>0</v>
      </c>
      <c r="AE20" s="78">
        <f>IFERROR(_xlfn.XLOOKUP(Divisions!C20,'Project Managers'!C:C,'Project Managers'!AH:AH),0)</f>
        <v>0</v>
      </c>
      <c r="AF20" s="79">
        <f>IFERROR(_xlfn.XLOOKUP(Divisions!C20,'Project Managers'!C:C,'Project Managers'!AI:AI),0)</f>
        <v>0</v>
      </c>
      <c r="AG20" s="79">
        <f>IFERROR(_xlfn.XLOOKUP(Divisions!C20,'Project Managers'!C:C,'Project Managers'!AJ:AJ),0)</f>
        <v>0</v>
      </c>
      <c r="AH20" s="78">
        <f>IFERROR(_xlfn.XLOOKUP(Divisions!C20,'Project Managers'!C:C,'Project Managers'!AK:AK),0)</f>
        <v>0</v>
      </c>
      <c r="AI20" s="78">
        <f>IFERROR(_xlfn.XLOOKUP(Divisions!C20,'Project Managers'!C:C,'Project Managers'!AL:AL),0)</f>
        <v>0</v>
      </c>
      <c r="AJ20" s="78">
        <f>IFERROR(_xlfn.XLOOKUP(Divisions!C20,'Project Managers'!C:C,'Project Managers'!AM:AM),0)</f>
        <v>0</v>
      </c>
      <c r="AK20" s="79">
        <f>IFERROR(_xlfn.XLOOKUP(Divisions!C20,'Project Managers'!C:C,'Project Managers'!AN:AN),0)</f>
        <v>0</v>
      </c>
      <c r="AL20" s="81">
        <v>0</v>
      </c>
      <c r="AM20" s="81">
        <v>0</v>
      </c>
      <c r="AN20" s="81"/>
      <c r="AO20" s="82">
        <f>IFERROR(_xlfn.XLOOKUP(Divisions!C20,'Project Managers'!C:C,'Project Managers'!AR:AR),0)</f>
        <v>0</v>
      </c>
    </row>
    <row r="21" spans="1:44" ht="15" customHeight="1" x14ac:dyDescent="0.2">
      <c r="B21" s="27" t="s">
        <v>139</v>
      </c>
      <c r="C21" s="77" t="s">
        <v>93</v>
      </c>
      <c r="D21" s="27" t="s">
        <v>94</v>
      </c>
      <c r="E21" s="78">
        <v>972890</v>
      </c>
      <c r="F21" s="78">
        <f>IFERROR(Divisions!E21*(1-Divisions!H21),0)</f>
        <v>865872.1</v>
      </c>
      <c r="G21" s="78">
        <f>IFERROR(Divisions!E21-Divisions!F21,0)</f>
        <v>107017.90000000002</v>
      </c>
      <c r="H21" s="79" cm="1">
        <f t="array" ref="H21">IF(ISBLANK(Divisions!AL21),Divisions!R21,Divisions!AL21)</f>
        <v>0.11</v>
      </c>
      <c r="I21" s="78">
        <v>972890</v>
      </c>
      <c r="J21" s="78">
        <v>847449.19</v>
      </c>
      <c r="K21" s="78">
        <f>IFERROR(Divisions!I21-Divisions!J21,0)</f>
        <v>125440.81000000006</v>
      </c>
      <c r="L21" s="79">
        <f>IFERROR(Divisions!K21/Divisions!I21,0)</f>
        <v>0.12893627234322488</v>
      </c>
      <c r="M21" s="78">
        <v>972890</v>
      </c>
      <c r="N21" s="78">
        <f>IFERROR(IF(Divisions!M21-Divisions!I21&gt;0,Divisions!M21-Divisions!I21,0),0)</f>
        <v>0</v>
      </c>
      <c r="O21" s="78">
        <f>IFERROR(IF(Divisions!M21-Divisions!I21&lt;0,Divisions!M21-Divisions!I21,0),0)</f>
        <v>0</v>
      </c>
      <c r="P21" s="78">
        <f>IFERROR(Divisions!E21-Divisions!I21,0)</f>
        <v>0</v>
      </c>
      <c r="Q21" s="79">
        <f>IFERROR(Divisions!I21/Divisions!E21,0)</f>
        <v>1</v>
      </c>
      <c r="R21" s="80">
        <f>IFERROR(_xlfn.XLOOKUP(Divisions!C21,'Project Managers'!C:C,'Project Managers'!R:R),0)</f>
        <v>0.12</v>
      </c>
      <c r="S21" s="79">
        <f>IFERROR(_xlfn.XLOOKUP(Divisions!C21,'Project Managers'!C:C,'Project Managers'!T:T),0)</f>
        <v>0.13</v>
      </c>
      <c r="T21" s="78">
        <f>IFERROR(_xlfn.XLOOKUP(Divisions!C21,'Project Managers'!C:C,'Project Managers'!U:U),0)</f>
        <v>-9879.5568181818817</v>
      </c>
      <c r="U21" s="78">
        <f>IFERROR(_xlfn.XLOOKUP(Divisions!C21,'Project Managers'!C:C,'Project Managers'!W:W),0)</f>
        <v>1189.5287356320769</v>
      </c>
      <c r="V21" s="79">
        <f>IFERROR(_xlfn.XLOOKUP(Divisions!C21,'Project Managers'!C:C,'Project Managers'!X:X),0)</f>
        <v>1</v>
      </c>
      <c r="W21" s="80">
        <f>IFERROR(_xlfn.XLOOKUP(Divisions!C21,'Project Managers'!C:C,'Project Managers'!Z:Z),0)</f>
        <v>1</v>
      </c>
      <c r="X21" s="78">
        <f>IFERROR(_xlfn.XLOOKUP(Divisions!C21,'Project Managers'!C:C,'Project Managers'!AA:AA),0)</f>
        <v>0</v>
      </c>
      <c r="Y21" s="78">
        <f>IFERROR(_xlfn.XLOOKUP(Divisions!C21,'Project Managers'!C:C,'Project Managers'!AB:AB),0)</f>
        <v>0</v>
      </c>
      <c r="Z21" s="78">
        <f>IFERROR(_xlfn.XLOOKUP(Divisions!C21,'Project Managers'!C:C,'Project Managers'!AC:AC),0)</f>
        <v>0</v>
      </c>
      <c r="AA21" s="79">
        <f>IFERROR(_xlfn.XLOOKUP(Divisions!C21,'Project Managers'!C:C,'Project Managers'!AD:AD),0)</f>
        <v>0</v>
      </c>
      <c r="AB21" s="79">
        <f>IFERROR(_xlfn.XLOOKUP(Divisions!C21,'Project Managers'!C:C,'Project Managers'!AE:AE),0)</f>
        <v>0</v>
      </c>
      <c r="AC21" s="78">
        <f>IFERROR(_xlfn.XLOOKUP(Divisions!C21,'Project Managers'!C:C,'Project Managers'!AF:AF),0)</f>
        <v>0</v>
      </c>
      <c r="AD21" s="78">
        <f>IFERROR(_xlfn.XLOOKUP(Divisions!C21,'Project Managers'!C:C,'Project Managers'!AG:AG),0)</f>
        <v>0</v>
      </c>
      <c r="AE21" s="78">
        <f>IFERROR(_xlfn.XLOOKUP(Divisions!C21,'Project Managers'!C:C,'Project Managers'!AH:AH),0)</f>
        <v>0</v>
      </c>
      <c r="AF21" s="79">
        <f>IFERROR(_xlfn.XLOOKUP(Divisions!C21,'Project Managers'!C:C,'Project Managers'!AI:AI),0)</f>
        <v>0</v>
      </c>
      <c r="AG21" s="79">
        <f>IFERROR(_xlfn.XLOOKUP(Divisions!C21,'Project Managers'!C:C,'Project Managers'!AJ:AJ),0)</f>
        <v>0</v>
      </c>
      <c r="AH21" s="78">
        <f>IFERROR(_xlfn.XLOOKUP(Divisions!C21,'Project Managers'!C:C,'Project Managers'!AK:AK),0)</f>
        <v>0</v>
      </c>
      <c r="AI21" s="78">
        <f>IFERROR(_xlfn.XLOOKUP(Divisions!C21,'Project Managers'!C:C,'Project Managers'!AL:AL),0)</f>
        <v>0</v>
      </c>
      <c r="AJ21" s="78">
        <f>IFERROR(_xlfn.XLOOKUP(Divisions!C21,'Project Managers'!C:C,'Project Managers'!AM:AM),0)</f>
        <v>0</v>
      </c>
      <c r="AK21" s="79">
        <f>IFERROR(_xlfn.XLOOKUP(Divisions!C21,'Project Managers'!C:C,'Project Managers'!AN:AN),0)</f>
        <v>0</v>
      </c>
      <c r="AL21" s="81">
        <v>0.11</v>
      </c>
      <c r="AM21" s="81">
        <v>0.12</v>
      </c>
      <c r="AN21" s="81"/>
      <c r="AO21" s="82">
        <f>IFERROR(_xlfn.XLOOKUP(Divisions!C21,'Project Managers'!C:C,'Project Managers'!AR:AR),0)</f>
        <v>0</v>
      </c>
    </row>
    <row r="22" spans="1:44" ht="15" customHeight="1" x14ac:dyDescent="0.2">
      <c r="B22" s="27" t="s">
        <v>139</v>
      </c>
      <c r="C22" s="77" t="s">
        <v>75</v>
      </c>
      <c r="D22" s="27" t="s">
        <v>76</v>
      </c>
      <c r="E22" s="78">
        <v>7230488.54</v>
      </c>
      <c r="F22" s="78">
        <f>IFERROR(Divisions!E22*(1-Divisions!H22),0)</f>
        <v>6001305.4881999996</v>
      </c>
      <c r="G22" s="78">
        <f>IFERROR(Divisions!E22-Divisions!F22,0)</f>
        <v>1229183.0518000005</v>
      </c>
      <c r="H22" s="79" cm="1">
        <f t="array" ref="H22">IF(ISBLANK(Divisions!AL22),Divisions!R22,Divisions!AL22)</f>
        <v>0.17</v>
      </c>
      <c r="I22" s="78">
        <v>5396691.7000000002</v>
      </c>
      <c r="J22" s="78">
        <v>4063773.79</v>
      </c>
      <c r="K22" s="78">
        <f>IFERROR(Divisions!I22-Divisions!J22,0)</f>
        <v>1332917.9100000001</v>
      </c>
      <c r="L22" s="79">
        <f>IFERROR(Divisions!K22/Divisions!I22,0)</f>
        <v>0.24698796672042617</v>
      </c>
      <c r="M22" s="78">
        <v>6079333.9100000001</v>
      </c>
      <c r="N22" s="78">
        <f>IFERROR(IF(Divisions!M22-Divisions!I22&gt;0,Divisions!M22-Divisions!I22,0),0)</f>
        <v>682642.21</v>
      </c>
      <c r="O22" s="78">
        <f>IFERROR(IF(Divisions!M22-Divisions!I22&lt;0,Divisions!M22-Divisions!I22,0),0)</f>
        <v>0</v>
      </c>
      <c r="P22" s="78">
        <f>IFERROR(Divisions!E22-Divisions!I22,0)</f>
        <v>1833796.8399999999</v>
      </c>
      <c r="Q22" s="79">
        <f>IFERROR(Divisions!I22/Divisions!E22,0)</f>
        <v>0.74637995346300623</v>
      </c>
      <c r="R22" s="80">
        <f>IFERROR(_xlfn.XLOOKUP(Divisions!C22,'Project Managers'!C:C,'Project Managers'!R:R),0)</f>
        <v>0.33</v>
      </c>
      <c r="S22" s="79">
        <f>IFERROR(_xlfn.XLOOKUP(Divisions!C22,'Project Managers'!C:C,'Project Managers'!T:T),0)</f>
        <v>0.25</v>
      </c>
      <c r="T22" s="78">
        <f>IFERROR(_xlfn.XLOOKUP(Divisions!C22,'Project Managers'!C:C,'Project Managers'!U:U),0)</f>
        <v>668642.31492537353</v>
      </c>
      <c r="U22" s="78">
        <f>IFERROR(_xlfn.XLOOKUP(Divisions!C22,'Project Managers'!C:C,'Project Managers'!W:W),0)</f>
        <v>21673.353333333507</v>
      </c>
      <c r="V22" s="79">
        <f>IFERROR(_xlfn.XLOOKUP(Divisions!C22,'Project Managers'!C:C,'Project Managers'!X:X),0)</f>
        <v>1</v>
      </c>
      <c r="W22" s="80">
        <f>IFERROR(_xlfn.XLOOKUP(Divisions!C22,'Project Managers'!C:C,'Project Managers'!Z:Z),0)</f>
        <v>0.95</v>
      </c>
      <c r="X22" s="78">
        <f>IFERROR(_xlfn.XLOOKUP(Divisions!C22,'Project Managers'!C:C,'Project Managers'!AA:AA),0)</f>
        <v>1472272.4129999997</v>
      </c>
      <c r="Y22" s="78">
        <f>IFERROR(_xlfn.XLOOKUP(Divisions!C22,'Project Managers'!C:C,'Project Managers'!AB:AB),0)</f>
        <v>1108638.8432545543</v>
      </c>
      <c r="Z22" s="78">
        <f>IFERROR(_xlfn.XLOOKUP(Divisions!C22,'Project Managers'!C:C,'Project Managers'!AC:AC),0)</f>
        <v>363633.56974544539</v>
      </c>
      <c r="AA22" s="79">
        <f>IFERROR(_xlfn.XLOOKUP(Divisions!C22,'Project Managers'!C:C,'Project Managers'!AD:AD),0)</f>
        <v>0.24698796672042611</v>
      </c>
      <c r="AB22" s="79">
        <f>IFERROR(_xlfn.XLOOKUP(Divisions!C22,'Project Managers'!C:C,'Project Managers'!AE:AE),0)</f>
        <v>1</v>
      </c>
      <c r="AC22" s="78">
        <f>IFERROR(_xlfn.XLOOKUP(Divisions!C22,'Project Managers'!C:C,'Project Managers'!AF:AF),0)</f>
        <v>361524.42700000014</v>
      </c>
      <c r="AD22" s="78">
        <f>IFERROR(_xlfn.XLOOKUP(Divisions!C22,'Project Managers'!C:C,'Project Managers'!AG:AG),0)</f>
        <v>272232.24385550298</v>
      </c>
      <c r="AE22" s="78">
        <f>IFERROR(_xlfn.XLOOKUP(Divisions!C22,'Project Managers'!C:C,'Project Managers'!AH:AH),0)</f>
        <v>89292.183144497161</v>
      </c>
      <c r="AF22" s="79">
        <f>IFERROR(_xlfn.XLOOKUP(Divisions!C22,'Project Managers'!C:C,'Project Managers'!AI:AI),0)</f>
        <v>0.24698796672042614</v>
      </c>
      <c r="AG22" s="79">
        <f>IFERROR(_xlfn.XLOOKUP(Divisions!C22,'Project Managers'!C:C,'Project Managers'!AJ:AJ),0)</f>
        <v>0</v>
      </c>
      <c r="AH22" s="78">
        <f>IFERROR(_xlfn.XLOOKUP(Divisions!C22,'Project Managers'!C:C,'Project Managers'!AK:AK),0)</f>
        <v>0</v>
      </c>
      <c r="AI22" s="78">
        <f>IFERROR(_xlfn.XLOOKUP(Divisions!C22,'Project Managers'!C:C,'Project Managers'!AL:AL),0)</f>
        <v>0</v>
      </c>
      <c r="AJ22" s="78">
        <f>IFERROR(_xlfn.XLOOKUP(Divisions!C22,'Project Managers'!C:C,'Project Managers'!AM:AM),0)</f>
        <v>0</v>
      </c>
      <c r="AK22" s="79">
        <f>IFERROR(_xlfn.XLOOKUP(Divisions!C22,'Project Managers'!C:C,'Project Managers'!AN:AN),0)</f>
        <v>0</v>
      </c>
      <c r="AL22" s="81">
        <v>0.17</v>
      </c>
      <c r="AM22" s="81">
        <v>0.33</v>
      </c>
      <c r="AN22" s="81"/>
      <c r="AO22" s="82">
        <f>IFERROR(_xlfn.XLOOKUP(Divisions!C22,'Project Managers'!C:C,'Project Managers'!AR:AR),0)</f>
        <v>0</v>
      </c>
    </row>
    <row r="23" spans="1:44" ht="15" customHeight="1" x14ac:dyDescent="0.2">
      <c r="B23" s="27" t="s">
        <v>139</v>
      </c>
      <c r="C23" s="77" t="s">
        <v>95</v>
      </c>
      <c r="D23" s="27" t="s">
        <v>96</v>
      </c>
      <c r="E23" s="78">
        <v>10801639</v>
      </c>
      <c r="F23" s="78">
        <f>IFERROR(Divisions!E23*(1-Divisions!H23),0)</f>
        <v>8857343.9800000004</v>
      </c>
      <c r="G23" s="78">
        <f>IFERROR(Divisions!E23-Divisions!F23,0)</f>
        <v>1944295.0199999996</v>
      </c>
      <c r="H23" s="79" cm="1">
        <f t="array" ref="H23">IF(ISBLANK(Divisions!AL23),Divisions!R23,Divisions!AL23)</f>
        <v>0.18</v>
      </c>
      <c r="I23" s="78">
        <v>10200547.380000001</v>
      </c>
      <c r="J23" s="78">
        <v>6443807.5700000003</v>
      </c>
      <c r="K23" s="78">
        <f>IFERROR(Divisions!I23-Divisions!J23,0)</f>
        <v>3756739.8100000005</v>
      </c>
      <c r="L23" s="79">
        <f>IFERROR(Divisions!K23/Divisions!I23,0)</f>
        <v>0.36828806043936047</v>
      </c>
      <c r="M23" s="78">
        <v>10801639</v>
      </c>
      <c r="N23" s="78">
        <f>IFERROR(IF(Divisions!M23-Divisions!I23&gt;0,Divisions!M23-Divisions!I23,0),0)</f>
        <v>601091.61999999918</v>
      </c>
      <c r="O23" s="78">
        <f>IFERROR(IF(Divisions!M23-Divisions!I23&lt;0,Divisions!M23-Divisions!I23,0),0)</f>
        <v>0</v>
      </c>
      <c r="P23" s="78">
        <f>IFERROR(Divisions!E23-Divisions!I23,0)</f>
        <v>601091.61999999918</v>
      </c>
      <c r="Q23" s="79">
        <f>IFERROR(Divisions!I23/Divisions!E23,0)</f>
        <v>0.9443518136460588</v>
      </c>
      <c r="R23" s="80">
        <f>IFERROR(_xlfn.XLOOKUP(Divisions!C23,'Project Managers'!C:C,'Project Managers'!R:R),0)</f>
        <v>0.36</v>
      </c>
      <c r="S23" s="79">
        <f>IFERROR(_xlfn.XLOOKUP(Divisions!C23,'Project Managers'!C:C,'Project Managers'!T:T),0)</f>
        <v>0.39</v>
      </c>
      <c r="T23" s="78">
        <f>IFERROR(_xlfn.XLOOKUP(Divisions!C23,'Project Managers'!C:C,'Project Managers'!U:U),0)</f>
        <v>-132098.05187500082</v>
      </c>
      <c r="U23" s="78">
        <f>IFERROR(_xlfn.XLOOKUP(Divisions!C23,'Project Managers'!C:C,'Project Managers'!W:W),0)</f>
        <v>363071.5872131139</v>
      </c>
      <c r="V23" s="79">
        <f>IFERROR(_xlfn.XLOOKUP(Divisions!C23,'Project Managers'!C:C,'Project Managers'!X:X),0)</f>
        <v>1</v>
      </c>
      <c r="W23" s="80">
        <f>IFERROR(_xlfn.XLOOKUP(Divisions!C23,'Project Managers'!C:C,'Project Managers'!Z:Z),0)</f>
        <v>0.98</v>
      </c>
      <c r="X23" s="78">
        <f>IFERROR(_xlfn.XLOOKUP(Divisions!C23,'Project Managers'!C:C,'Project Managers'!AA:AA),0)</f>
        <v>385058.83999999985</v>
      </c>
      <c r="Y23" s="78">
        <f>IFERROR(_xlfn.XLOOKUP(Divisions!C23,'Project Managers'!C:C,'Project Managers'!AB:AB),0)</f>
        <v>243246.26666136988</v>
      </c>
      <c r="Z23" s="78">
        <f>IFERROR(_xlfn.XLOOKUP(Divisions!C23,'Project Managers'!C:C,'Project Managers'!AC:AC),0)</f>
        <v>141812.57333862997</v>
      </c>
      <c r="AA23" s="79">
        <f>IFERROR(_xlfn.XLOOKUP(Divisions!C23,'Project Managers'!C:C,'Project Managers'!AD:AD),0)</f>
        <v>0.36828806043936047</v>
      </c>
      <c r="AB23" s="79">
        <f>IFERROR(_xlfn.XLOOKUP(Divisions!C23,'Project Managers'!C:C,'Project Managers'!AE:AE),0)</f>
        <v>1</v>
      </c>
      <c r="AC23" s="78">
        <f>IFERROR(_xlfn.XLOOKUP(Divisions!C23,'Project Managers'!C:C,'Project Managers'!AF:AF),0)</f>
        <v>216032.77999999933</v>
      </c>
      <c r="AD23" s="78">
        <f>IFERROR(_xlfn.XLOOKUP(Divisions!C23,'Project Managers'!C:C,'Project Managers'!AG:AG),0)</f>
        <v>136470.48646247652</v>
      </c>
      <c r="AE23" s="78">
        <f>IFERROR(_xlfn.XLOOKUP(Divisions!C23,'Project Managers'!C:C,'Project Managers'!AH:AH),0)</f>
        <v>79562.293537522812</v>
      </c>
      <c r="AF23" s="79">
        <f>IFERROR(_xlfn.XLOOKUP(Divisions!C23,'Project Managers'!C:C,'Project Managers'!AI:AI),0)</f>
        <v>0.36828806043936047</v>
      </c>
      <c r="AG23" s="79">
        <f>IFERROR(_xlfn.XLOOKUP(Divisions!C23,'Project Managers'!C:C,'Project Managers'!AJ:AJ),0)</f>
        <v>0</v>
      </c>
      <c r="AH23" s="78">
        <f>IFERROR(_xlfn.XLOOKUP(Divisions!C23,'Project Managers'!C:C,'Project Managers'!AK:AK),0)</f>
        <v>0</v>
      </c>
      <c r="AI23" s="78">
        <f>IFERROR(_xlfn.XLOOKUP(Divisions!C23,'Project Managers'!C:C,'Project Managers'!AL:AL),0)</f>
        <v>0</v>
      </c>
      <c r="AJ23" s="78">
        <f>IFERROR(_xlfn.XLOOKUP(Divisions!C23,'Project Managers'!C:C,'Project Managers'!AM:AM),0)</f>
        <v>0</v>
      </c>
      <c r="AK23" s="79">
        <f>IFERROR(_xlfn.XLOOKUP(Divisions!C23,'Project Managers'!C:C,'Project Managers'!AN:AN),0)</f>
        <v>0</v>
      </c>
      <c r="AL23" s="81">
        <v>0.18</v>
      </c>
      <c r="AM23" s="81">
        <v>0.36</v>
      </c>
      <c r="AN23" s="81"/>
      <c r="AO23" s="82">
        <f>IFERROR(_xlfn.XLOOKUP(Divisions!C23,'Project Managers'!C:C,'Project Managers'!AR:AR),0)</f>
        <v>0</v>
      </c>
    </row>
    <row r="24" spans="1:44" ht="15" customHeight="1" x14ac:dyDescent="0.2">
      <c r="B24" s="27" t="s">
        <v>139</v>
      </c>
      <c r="C24" s="77" t="s">
        <v>97</v>
      </c>
      <c r="D24" s="27" t="s">
        <v>98</v>
      </c>
      <c r="E24" s="78">
        <v>540613</v>
      </c>
      <c r="F24" s="78">
        <f>IFERROR(Divisions!E24*(1-Divisions!H24),0)</f>
        <v>432490.35161094199</v>
      </c>
      <c r="G24" s="78">
        <f>IFERROR(Divisions!E24-Divisions!F24,0)</f>
        <v>108122.64838905801</v>
      </c>
      <c r="H24" s="79" cm="1">
        <f t="array" ref="H24">IF(ISBLANK(Divisions!AL24),Divisions!R24,Divisions!AL24)</f>
        <v>0.2000000895077588</v>
      </c>
      <c r="I24" s="78">
        <v>536266.36</v>
      </c>
      <c r="J24" s="78">
        <v>429013.04</v>
      </c>
      <c r="K24" s="78">
        <f>IFERROR(Divisions!I24-Divisions!J24,0)</f>
        <v>107253.32</v>
      </c>
      <c r="L24" s="79">
        <f>IFERROR(Divisions!K24/Divisions!I24,0)</f>
        <v>0.2000000895077588</v>
      </c>
      <c r="M24" s="78">
        <v>540613</v>
      </c>
      <c r="N24" s="78">
        <f>IFERROR(IF(Divisions!M24-Divisions!I24&gt;0,Divisions!M24-Divisions!I24,0),0)</f>
        <v>4346.640000000014</v>
      </c>
      <c r="O24" s="78">
        <f>IFERROR(IF(Divisions!M24-Divisions!I24&lt;0,Divisions!M24-Divisions!I24,0),0)</f>
        <v>0</v>
      </c>
      <c r="P24" s="78">
        <f>IFERROR(Divisions!E24-Divisions!I24,0)</f>
        <v>4346.640000000014</v>
      </c>
      <c r="Q24" s="79">
        <f>IFERROR(Divisions!I24/Divisions!E24,0)</f>
        <v>0.9919597937896425</v>
      </c>
      <c r="R24" s="80">
        <f>IFERROR(_xlfn.XLOOKUP(Divisions!C24,'Project Managers'!C:C,'Project Managers'!R:R),0)</f>
        <v>0.2000000895077588</v>
      </c>
      <c r="S24" s="79">
        <f>IFERROR(_xlfn.XLOOKUP(Divisions!C24,'Project Managers'!C:C,'Project Managers'!T:T),0)</f>
        <v>0.2</v>
      </c>
      <c r="T24" s="78">
        <f>IFERROR(_xlfn.XLOOKUP(Divisions!C24,'Project Managers'!C:C,'Project Managers'!U:U),0)</f>
        <v>0</v>
      </c>
      <c r="U24" s="78">
        <f>IFERROR(_xlfn.XLOOKUP(Divisions!C24,'Project Managers'!C:C,'Project Managers'!W:W),0)</f>
        <v>-6.0000000055879354E-2</v>
      </c>
      <c r="V24" s="79">
        <f>IFERROR(_xlfn.XLOOKUP(Divisions!C24,'Project Managers'!C:C,'Project Managers'!X:X),0)</f>
        <v>1</v>
      </c>
      <c r="W24" s="80">
        <f>IFERROR(_xlfn.XLOOKUP(Divisions!C24,'Project Managers'!C:C,'Project Managers'!Z:Z),0)</f>
        <v>0.95</v>
      </c>
      <c r="X24" s="78">
        <f>IFERROR(_xlfn.XLOOKUP(Divisions!C24,'Project Managers'!C:C,'Project Managers'!AA:AA),0)</f>
        <v>-22684.010000000009</v>
      </c>
      <c r="Y24" s="78">
        <f>IFERROR(_xlfn.XLOOKUP(Divisions!C24,'Project Managers'!C:C,'Project Managers'!AB:AB),0)</f>
        <v>-18147.205969605111</v>
      </c>
      <c r="Z24" s="78">
        <f>IFERROR(_xlfn.XLOOKUP(Divisions!C24,'Project Managers'!C:C,'Project Managers'!AC:AC),0)</f>
        <v>-4536.8040303948983</v>
      </c>
      <c r="AA24" s="79">
        <f>IFERROR(_xlfn.XLOOKUP(Divisions!C24,'Project Managers'!C:C,'Project Managers'!AD:AD),0)</f>
        <v>0.20000008950775883</v>
      </c>
      <c r="AB24" s="79">
        <f>IFERROR(_xlfn.XLOOKUP(Divisions!C24,'Project Managers'!C:C,'Project Managers'!AE:AE),0)</f>
        <v>1</v>
      </c>
      <c r="AC24" s="78">
        <f>IFERROR(_xlfn.XLOOKUP(Divisions!C24,'Project Managers'!C:C,'Project Managers'!AF:AF),0)</f>
        <v>27030.650000000023</v>
      </c>
      <c r="AD24" s="78">
        <f>IFERROR(_xlfn.XLOOKUP(Divisions!C24,'Project Managers'!C:C,'Project Managers'!AG:AG),0)</f>
        <v>21624.517580547119</v>
      </c>
      <c r="AE24" s="78">
        <f>IFERROR(_xlfn.XLOOKUP(Divisions!C24,'Project Managers'!C:C,'Project Managers'!AH:AH),0)</f>
        <v>5406.1324194529043</v>
      </c>
      <c r="AF24" s="79">
        <f>IFERROR(_xlfn.XLOOKUP(Divisions!C24,'Project Managers'!C:C,'Project Managers'!AI:AI),0)</f>
        <v>0.20000008950775877</v>
      </c>
      <c r="AG24" s="79">
        <f>IFERROR(_xlfn.XLOOKUP(Divisions!C24,'Project Managers'!C:C,'Project Managers'!AJ:AJ),0)</f>
        <v>0</v>
      </c>
      <c r="AH24" s="78">
        <f>IFERROR(_xlfn.XLOOKUP(Divisions!C24,'Project Managers'!C:C,'Project Managers'!AK:AK),0)</f>
        <v>0</v>
      </c>
      <c r="AI24" s="78">
        <f>IFERROR(_xlfn.XLOOKUP(Divisions!C24,'Project Managers'!C:C,'Project Managers'!AL:AL),0)</f>
        <v>0</v>
      </c>
      <c r="AJ24" s="78">
        <f>IFERROR(_xlfn.XLOOKUP(Divisions!C24,'Project Managers'!C:C,'Project Managers'!AM:AM),0)</f>
        <v>0</v>
      </c>
      <c r="AK24" s="79">
        <f>IFERROR(_xlfn.XLOOKUP(Divisions!C24,'Project Managers'!C:C,'Project Managers'!AN:AN),0)</f>
        <v>0</v>
      </c>
      <c r="AL24" s="81"/>
      <c r="AM24" s="81"/>
      <c r="AN24" s="81"/>
      <c r="AO24" s="82">
        <f>IFERROR(_xlfn.XLOOKUP(Divisions!C24,'Project Managers'!C:C,'Project Managers'!AR:AR),0)</f>
        <v>0</v>
      </c>
    </row>
    <row r="25" spans="1:44" ht="15" customHeight="1" x14ac:dyDescent="0.2">
      <c r="B25" s="27" t="s">
        <v>139</v>
      </c>
      <c r="C25" s="77" t="s">
        <v>99</v>
      </c>
      <c r="D25" s="27" t="s">
        <v>100</v>
      </c>
      <c r="E25" s="78">
        <v>540613</v>
      </c>
      <c r="F25" s="78">
        <f>IFERROR(Divisions!E25*(1-Divisions!H25),0)</f>
        <v>432490.26103505387</v>
      </c>
      <c r="G25" s="78">
        <f>IFERROR(Divisions!E25-Divisions!F25,0)</f>
        <v>108122.73896494613</v>
      </c>
      <c r="H25" s="79" cm="1">
        <f t="array" ref="H25">IF(ISBLANK(Divisions!AL25),Divisions!R25,Divisions!AL25)</f>
        <v>0.20000025705069263</v>
      </c>
      <c r="I25" s="78">
        <v>264539.26</v>
      </c>
      <c r="J25" s="78">
        <v>211631.34</v>
      </c>
      <c r="K25" s="78">
        <f>IFERROR(Divisions!I25-Divisions!J25,0)</f>
        <v>52907.920000000013</v>
      </c>
      <c r="L25" s="79">
        <f>IFERROR(Divisions!K25/Divisions!I25,0)</f>
        <v>0.20000025705069263</v>
      </c>
      <c r="M25" s="78">
        <v>540613</v>
      </c>
      <c r="N25" s="78">
        <f>IFERROR(IF(Divisions!M25-Divisions!I25&gt;0,Divisions!M25-Divisions!I25,0),0)</f>
        <v>276073.74</v>
      </c>
      <c r="O25" s="78">
        <f>IFERROR(IF(Divisions!M25-Divisions!I25&lt;0,Divisions!M25-Divisions!I25,0),0)</f>
        <v>0</v>
      </c>
      <c r="P25" s="78">
        <f>IFERROR(Divisions!E25-Divisions!I25,0)</f>
        <v>276073.74</v>
      </c>
      <c r="Q25" s="79">
        <f>IFERROR(Divisions!I25/Divisions!E25,0)</f>
        <v>0.4893320360405688</v>
      </c>
      <c r="R25" s="80">
        <f>IFERROR(_xlfn.XLOOKUP(Divisions!C25,'Project Managers'!C:C,'Project Managers'!R:R),0)</f>
        <v>0.20000025705069263</v>
      </c>
      <c r="S25" s="79">
        <f>IFERROR(_xlfn.XLOOKUP(Divisions!C25,'Project Managers'!C:C,'Project Managers'!T:T),0)</f>
        <v>0.2</v>
      </c>
      <c r="T25" s="78">
        <f>IFERROR(_xlfn.XLOOKUP(Divisions!C25,'Project Managers'!C:C,'Project Managers'!U:U),0)</f>
        <v>0</v>
      </c>
      <c r="U25" s="78">
        <f>IFERROR(_xlfn.XLOOKUP(Divisions!C25,'Project Managers'!C:C,'Project Managers'!W:W),0)</f>
        <v>-8.5000000020954758E-2</v>
      </c>
      <c r="V25" s="79">
        <f>IFERROR(_xlfn.XLOOKUP(Divisions!C25,'Project Managers'!C:C,'Project Managers'!X:X),0)</f>
        <v>1</v>
      </c>
      <c r="W25" s="80">
        <f>IFERROR(_xlfn.XLOOKUP(Divisions!C25,'Project Managers'!C:C,'Project Managers'!Z:Z),0)</f>
        <v>0.95</v>
      </c>
      <c r="X25" s="78">
        <f>IFERROR(_xlfn.XLOOKUP(Divisions!C25,'Project Managers'!C:C,'Project Managers'!AA:AA),0)</f>
        <v>249043.08999999997</v>
      </c>
      <c r="Y25" s="78">
        <f>IFERROR(_xlfn.XLOOKUP(Divisions!C25,'Project Managers'!C:C,'Project Managers'!AB:AB),0)</f>
        <v>199234.40798330121</v>
      </c>
      <c r="Z25" s="78">
        <f>IFERROR(_xlfn.XLOOKUP(Divisions!C25,'Project Managers'!C:C,'Project Managers'!AC:AC),0)</f>
        <v>49808.68201669876</v>
      </c>
      <c r="AA25" s="79">
        <f>IFERROR(_xlfn.XLOOKUP(Divisions!C25,'Project Managers'!C:C,'Project Managers'!AD:AD),0)</f>
        <v>0.20000025705069258</v>
      </c>
      <c r="AB25" s="79">
        <f>IFERROR(_xlfn.XLOOKUP(Divisions!C25,'Project Managers'!C:C,'Project Managers'!AE:AE),0)</f>
        <v>1</v>
      </c>
      <c r="AC25" s="78">
        <f>IFERROR(_xlfn.XLOOKUP(Divisions!C25,'Project Managers'!C:C,'Project Managers'!AF:AF),0)</f>
        <v>27030.650000000023</v>
      </c>
      <c r="AD25" s="78">
        <f>IFERROR(_xlfn.XLOOKUP(Divisions!C25,'Project Managers'!C:C,'Project Managers'!AG:AG),0)</f>
        <v>21624.513051752714</v>
      </c>
      <c r="AE25" s="78">
        <f>IFERROR(_xlfn.XLOOKUP(Divisions!C25,'Project Managers'!C:C,'Project Managers'!AH:AH),0)</f>
        <v>5406.1369482473092</v>
      </c>
      <c r="AF25" s="79">
        <f>IFERROR(_xlfn.XLOOKUP(Divisions!C25,'Project Managers'!C:C,'Project Managers'!AI:AI),0)</f>
        <v>0.20000025705069263</v>
      </c>
      <c r="AG25" s="79">
        <f>IFERROR(_xlfn.XLOOKUP(Divisions!C25,'Project Managers'!C:C,'Project Managers'!AJ:AJ),0)</f>
        <v>0</v>
      </c>
      <c r="AH25" s="78">
        <f>IFERROR(_xlfn.XLOOKUP(Divisions!C25,'Project Managers'!C:C,'Project Managers'!AK:AK),0)</f>
        <v>0</v>
      </c>
      <c r="AI25" s="78">
        <f>IFERROR(_xlfn.XLOOKUP(Divisions!C25,'Project Managers'!C:C,'Project Managers'!AL:AL),0)</f>
        <v>0</v>
      </c>
      <c r="AJ25" s="78">
        <f>IFERROR(_xlfn.XLOOKUP(Divisions!C25,'Project Managers'!C:C,'Project Managers'!AM:AM),0)</f>
        <v>0</v>
      </c>
      <c r="AK25" s="79">
        <f>IFERROR(_xlfn.XLOOKUP(Divisions!C25,'Project Managers'!C:C,'Project Managers'!AN:AN),0)</f>
        <v>0</v>
      </c>
      <c r="AL25" s="81"/>
      <c r="AM25" s="81"/>
      <c r="AN25" s="81"/>
      <c r="AO25" s="82">
        <f>IFERROR(_xlfn.XLOOKUP(Divisions!C25,'Project Managers'!C:C,'Project Managers'!AR:AR),0)</f>
        <v>0</v>
      </c>
    </row>
    <row r="26" spans="1:44" ht="15" customHeight="1" x14ac:dyDescent="0.2">
      <c r="B26" s="27" t="s">
        <v>139</v>
      </c>
      <c r="C26" s="77" t="s">
        <v>101</v>
      </c>
      <c r="D26" s="27" t="s">
        <v>102</v>
      </c>
      <c r="E26" s="78">
        <v>540613</v>
      </c>
      <c r="F26" s="78">
        <f>IFERROR(Divisions!E26*(1-Divisions!H26),0)</f>
        <v>432490.37753790274</v>
      </c>
      <c r="G26" s="78">
        <f>IFERROR(Divisions!E26-Divisions!F26,0)</f>
        <v>108122.62246209726</v>
      </c>
      <c r="H26" s="79" cm="1">
        <f t="array" ref="H26">IF(ISBLANK(Divisions!AL26),Divisions!R26,Divisions!AL26)</f>
        <v>0.20000004154931031</v>
      </c>
      <c r="I26" s="78">
        <v>529491.34</v>
      </c>
      <c r="J26" s="78">
        <v>423593.05</v>
      </c>
      <c r="K26" s="78">
        <f>IFERROR(Divisions!I26-Divisions!J26,0)</f>
        <v>105898.28999999998</v>
      </c>
      <c r="L26" s="79">
        <f>IFERROR(Divisions!K26/Divisions!I26,0)</f>
        <v>0.20000004154931031</v>
      </c>
      <c r="M26" s="78">
        <v>540613</v>
      </c>
      <c r="N26" s="78">
        <f>IFERROR(IF(Divisions!M26-Divisions!I26&gt;0,Divisions!M26-Divisions!I26,0),0)</f>
        <v>11121.660000000033</v>
      </c>
      <c r="O26" s="78">
        <f>IFERROR(IF(Divisions!M26-Divisions!I26&lt;0,Divisions!M26-Divisions!I26,0),0)</f>
        <v>0</v>
      </c>
      <c r="P26" s="78">
        <f>IFERROR(Divisions!E26-Divisions!I26,0)</f>
        <v>11121.660000000033</v>
      </c>
      <c r="Q26" s="79">
        <f>IFERROR(Divisions!I26/Divisions!E26,0)</f>
        <v>0.97942768671859526</v>
      </c>
      <c r="R26" s="80">
        <f>IFERROR(_xlfn.XLOOKUP(Divisions!C26,'Project Managers'!C:C,'Project Managers'!R:R),0)</f>
        <v>0.20000004154931031</v>
      </c>
      <c r="S26" s="79">
        <f>IFERROR(_xlfn.XLOOKUP(Divisions!C26,'Project Managers'!C:C,'Project Managers'!T:T),0)</f>
        <v>0.2</v>
      </c>
      <c r="T26" s="78">
        <f>IFERROR(_xlfn.XLOOKUP(Divisions!C26,'Project Managers'!C:C,'Project Managers'!U:U),0)</f>
        <v>0</v>
      </c>
      <c r="U26" s="78">
        <f>IFERROR(_xlfn.XLOOKUP(Divisions!C26,'Project Managers'!C:C,'Project Managers'!W:W),0)</f>
        <v>-2.749999996740371E-2</v>
      </c>
      <c r="V26" s="79">
        <f>IFERROR(_xlfn.XLOOKUP(Divisions!C26,'Project Managers'!C:C,'Project Managers'!X:X),0)</f>
        <v>1</v>
      </c>
      <c r="W26" s="80">
        <f>IFERROR(_xlfn.XLOOKUP(Divisions!C26,'Project Managers'!C:C,'Project Managers'!Z:Z),0)</f>
        <v>0.95</v>
      </c>
      <c r="X26" s="78">
        <f>IFERROR(_xlfn.XLOOKUP(Divisions!C26,'Project Managers'!C:C,'Project Managers'!AA:AA),0)</f>
        <v>-15908.989999999991</v>
      </c>
      <c r="Y26" s="78">
        <f>IFERROR(_xlfn.XLOOKUP(Divisions!C26,'Project Managers'!C:C,'Project Managers'!AB:AB),0)</f>
        <v>-12727.19133899243</v>
      </c>
      <c r="Z26" s="78">
        <f>IFERROR(_xlfn.XLOOKUP(Divisions!C26,'Project Managers'!C:C,'Project Managers'!AC:AC),0)</f>
        <v>-3181.7986610075604</v>
      </c>
      <c r="AA26" s="79">
        <f>IFERROR(_xlfn.XLOOKUP(Divisions!C26,'Project Managers'!C:C,'Project Managers'!AD:AD),0)</f>
        <v>0.20000004154931031</v>
      </c>
      <c r="AB26" s="79">
        <f>IFERROR(_xlfn.XLOOKUP(Divisions!C26,'Project Managers'!C:C,'Project Managers'!AE:AE),0)</f>
        <v>1</v>
      </c>
      <c r="AC26" s="78">
        <f>IFERROR(_xlfn.XLOOKUP(Divisions!C26,'Project Managers'!C:C,'Project Managers'!AF:AF),0)</f>
        <v>27030.650000000023</v>
      </c>
      <c r="AD26" s="78">
        <f>IFERROR(_xlfn.XLOOKUP(Divisions!C26,'Project Managers'!C:C,'Project Managers'!AG:AG),0)</f>
        <v>21624.518876895156</v>
      </c>
      <c r="AE26" s="78">
        <f>IFERROR(_xlfn.XLOOKUP(Divisions!C26,'Project Managers'!C:C,'Project Managers'!AH:AH),0)</f>
        <v>5406.1311231048676</v>
      </c>
      <c r="AF26" s="79">
        <f>IFERROR(_xlfn.XLOOKUP(Divisions!C26,'Project Managers'!C:C,'Project Managers'!AI:AI),0)</f>
        <v>0.20000004154931025</v>
      </c>
      <c r="AG26" s="79">
        <f>IFERROR(_xlfn.XLOOKUP(Divisions!C26,'Project Managers'!C:C,'Project Managers'!AJ:AJ),0)</f>
        <v>0</v>
      </c>
      <c r="AH26" s="78">
        <f>IFERROR(_xlfn.XLOOKUP(Divisions!C26,'Project Managers'!C:C,'Project Managers'!AK:AK),0)</f>
        <v>0</v>
      </c>
      <c r="AI26" s="78">
        <f>IFERROR(_xlfn.XLOOKUP(Divisions!C26,'Project Managers'!C:C,'Project Managers'!AL:AL),0)</f>
        <v>0</v>
      </c>
      <c r="AJ26" s="78">
        <f>IFERROR(_xlfn.XLOOKUP(Divisions!C26,'Project Managers'!C:C,'Project Managers'!AM:AM),0)</f>
        <v>0</v>
      </c>
      <c r="AK26" s="79">
        <f>IFERROR(_xlfn.XLOOKUP(Divisions!C26,'Project Managers'!C:C,'Project Managers'!AN:AN),0)</f>
        <v>0</v>
      </c>
      <c r="AL26" s="81"/>
      <c r="AM26" s="81"/>
      <c r="AN26" s="81"/>
      <c r="AO26" s="82">
        <f>IFERROR(_xlfn.XLOOKUP(Divisions!C26,'Project Managers'!C:C,'Project Managers'!AR:AR),0)</f>
        <v>0</v>
      </c>
    </row>
    <row r="27" spans="1:44" ht="15" customHeight="1" x14ac:dyDescent="0.2">
      <c r="B27" s="27" t="s">
        <v>139</v>
      </c>
      <c r="C27" s="77" t="s">
        <v>103</v>
      </c>
      <c r="D27" s="27" t="s">
        <v>104</v>
      </c>
      <c r="E27" s="78">
        <v>540613</v>
      </c>
      <c r="F27" s="78">
        <f>IFERROR(Divisions!E27*(1-Divisions!H27),0)</f>
        <v>432490.36404948053</v>
      </c>
      <c r="G27" s="78">
        <f>IFERROR(Divisions!E27-Divisions!F27,0)</f>
        <v>108122.63595051947</v>
      </c>
      <c r="H27" s="79" cm="1">
        <f t="array" ref="H27">IF(ISBLANK(Divisions!AL27),Divisions!R27,Divisions!AL27)</f>
        <v>0.20000006649954677</v>
      </c>
      <c r="I27" s="78">
        <v>511281.68</v>
      </c>
      <c r="J27" s="78">
        <v>409025.31</v>
      </c>
      <c r="K27" s="78">
        <f>IFERROR(Divisions!I27-Divisions!J27,0)</f>
        <v>102256.37</v>
      </c>
      <c r="L27" s="79">
        <f>IFERROR(Divisions!K27/Divisions!I27,0)</f>
        <v>0.20000006649954677</v>
      </c>
      <c r="M27" s="78">
        <v>540613</v>
      </c>
      <c r="N27" s="78">
        <f>IFERROR(IF(Divisions!M27-Divisions!I27&gt;0,Divisions!M27-Divisions!I27,0),0)</f>
        <v>29331.320000000007</v>
      </c>
      <c r="O27" s="78">
        <f>IFERROR(IF(Divisions!M27-Divisions!I27&lt;0,Divisions!M27-Divisions!I27,0),0)</f>
        <v>0</v>
      </c>
      <c r="P27" s="78">
        <f>IFERROR(Divisions!E27-Divisions!I27,0)</f>
        <v>29331.320000000007</v>
      </c>
      <c r="Q27" s="79">
        <f>IFERROR(Divisions!I27/Divisions!E27,0)</f>
        <v>0.94574433097243316</v>
      </c>
      <c r="R27" s="80">
        <f>IFERROR(_xlfn.XLOOKUP(Divisions!C27,'Project Managers'!C:C,'Project Managers'!R:R),0)</f>
        <v>0.20000006649954677</v>
      </c>
      <c r="S27" s="79">
        <f>IFERROR(_xlfn.XLOOKUP(Divisions!C27,'Project Managers'!C:C,'Project Managers'!T:T),0)</f>
        <v>0.2</v>
      </c>
      <c r="T27" s="78">
        <f>IFERROR(_xlfn.XLOOKUP(Divisions!C27,'Project Managers'!C:C,'Project Managers'!U:U),0)</f>
        <v>-5.8207660913467407E-11</v>
      </c>
      <c r="U27" s="78">
        <f>IFERROR(_xlfn.XLOOKUP(Divisions!C27,'Project Managers'!C:C,'Project Managers'!W:W),0)</f>
        <v>-4.2500000039581209E-2</v>
      </c>
      <c r="V27" s="79">
        <f>IFERROR(_xlfn.XLOOKUP(Divisions!C27,'Project Managers'!C:C,'Project Managers'!X:X),0)</f>
        <v>1</v>
      </c>
      <c r="W27" s="80">
        <f>IFERROR(_xlfn.XLOOKUP(Divisions!C27,'Project Managers'!C:C,'Project Managers'!Z:Z),0)</f>
        <v>0.95</v>
      </c>
      <c r="X27" s="78">
        <f>IFERROR(_xlfn.XLOOKUP(Divisions!C27,'Project Managers'!C:C,'Project Managers'!AA:AA),0)</f>
        <v>2300.6699999999837</v>
      </c>
      <c r="Y27" s="78">
        <f>IFERROR(_xlfn.XLOOKUP(Divisions!C27,'Project Managers'!C:C,'Project Managers'!AB:AB),0)</f>
        <v>1840.5358470064748</v>
      </c>
      <c r="Z27" s="78">
        <f>IFERROR(_xlfn.XLOOKUP(Divisions!C27,'Project Managers'!C:C,'Project Managers'!AC:AC),0)</f>
        <v>460.13415299350891</v>
      </c>
      <c r="AA27" s="79">
        <f>IFERROR(_xlfn.XLOOKUP(Divisions!C27,'Project Managers'!C:C,'Project Managers'!AD:AD),0)</f>
        <v>0.20000006649954671</v>
      </c>
      <c r="AB27" s="79">
        <f>IFERROR(_xlfn.XLOOKUP(Divisions!C27,'Project Managers'!C:C,'Project Managers'!AE:AE),0)</f>
        <v>1</v>
      </c>
      <c r="AC27" s="78">
        <f>IFERROR(_xlfn.XLOOKUP(Divisions!C27,'Project Managers'!C:C,'Project Managers'!AF:AF),0)</f>
        <v>27030.650000000023</v>
      </c>
      <c r="AD27" s="78">
        <f>IFERROR(_xlfn.XLOOKUP(Divisions!C27,'Project Managers'!C:C,'Project Managers'!AG:AG),0)</f>
        <v>21624.518202474042</v>
      </c>
      <c r="AE27" s="78">
        <f>IFERROR(_xlfn.XLOOKUP(Divisions!C27,'Project Managers'!C:C,'Project Managers'!AH:AH),0)</f>
        <v>5406.1317975259808</v>
      </c>
      <c r="AF27" s="79">
        <f>IFERROR(_xlfn.XLOOKUP(Divisions!C27,'Project Managers'!C:C,'Project Managers'!AI:AI),0)</f>
        <v>0.20000006649954685</v>
      </c>
      <c r="AG27" s="79">
        <f>IFERROR(_xlfn.XLOOKUP(Divisions!C27,'Project Managers'!C:C,'Project Managers'!AJ:AJ),0)</f>
        <v>0</v>
      </c>
      <c r="AH27" s="78">
        <f>IFERROR(_xlfn.XLOOKUP(Divisions!C27,'Project Managers'!C:C,'Project Managers'!AK:AK),0)</f>
        <v>0</v>
      </c>
      <c r="AI27" s="78">
        <f>IFERROR(_xlfn.XLOOKUP(Divisions!C27,'Project Managers'!C:C,'Project Managers'!AL:AL),0)</f>
        <v>0</v>
      </c>
      <c r="AJ27" s="78">
        <f>IFERROR(_xlfn.XLOOKUP(Divisions!C27,'Project Managers'!C:C,'Project Managers'!AM:AM),0)</f>
        <v>0</v>
      </c>
      <c r="AK27" s="79">
        <f>IFERROR(_xlfn.XLOOKUP(Divisions!C27,'Project Managers'!C:C,'Project Managers'!AN:AN),0)</f>
        <v>0</v>
      </c>
      <c r="AL27" s="81"/>
      <c r="AM27" s="81"/>
      <c r="AN27" s="81"/>
      <c r="AO27" s="82">
        <f>IFERROR(_xlfn.XLOOKUP(Divisions!C27,'Project Managers'!C:C,'Project Managers'!AR:AR),0)</f>
        <v>0</v>
      </c>
    </row>
    <row r="28" spans="1:44" ht="15" customHeight="1" x14ac:dyDescent="0.2">
      <c r="B28" s="27" t="s">
        <v>139</v>
      </c>
      <c r="C28" s="77" t="s">
        <v>105</v>
      </c>
      <c r="D28" s="27" t="s">
        <v>106</v>
      </c>
      <c r="E28" s="78">
        <v>97115</v>
      </c>
      <c r="F28" s="78">
        <f>IFERROR(Divisions!E28*(1-Divisions!H28),0)</f>
        <v>63102.676341093284</v>
      </c>
      <c r="G28" s="78">
        <f>IFERROR(Divisions!E28-Divisions!F28,0)</f>
        <v>34012.323658906716</v>
      </c>
      <c r="H28" s="79" cm="1">
        <f t="array" ref="H28">IF(ISBLANK(Divisions!AL28),Divisions!R28,Divisions!AL28)</f>
        <v>0.35022729402158997</v>
      </c>
      <c r="I28" s="78">
        <v>71722.080000000002</v>
      </c>
      <c r="J28" s="78">
        <v>46603.05</v>
      </c>
      <c r="K28" s="78">
        <f>IFERROR(Divisions!I28-Divisions!J28,0)</f>
        <v>25119.03</v>
      </c>
      <c r="L28" s="79">
        <f>IFERROR(Divisions!K28/Divisions!I28,0)</f>
        <v>0.35022729402158997</v>
      </c>
      <c r="M28" s="78">
        <v>97115</v>
      </c>
      <c r="N28" s="78">
        <f>IFERROR(IF(Divisions!M28-Divisions!I28&gt;0,Divisions!M28-Divisions!I28,0),0)</f>
        <v>25392.92</v>
      </c>
      <c r="O28" s="78">
        <f>IFERROR(IF(Divisions!M28-Divisions!I28&lt;0,Divisions!M28-Divisions!I28,0),0)</f>
        <v>0</v>
      </c>
      <c r="P28" s="78">
        <f>IFERROR(Divisions!E28-Divisions!I28,0)</f>
        <v>25392.92</v>
      </c>
      <c r="Q28" s="79">
        <f>IFERROR(Divisions!I28/Divisions!E28,0)</f>
        <v>0.7385273129794574</v>
      </c>
      <c r="R28" s="80">
        <f>IFERROR(_xlfn.XLOOKUP(Divisions!C28,'Project Managers'!C:C,'Project Managers'!R:R),0)</f>
        <v>0.35022729402158997</v>
      </c>
      <c r="S28" s="79">
        <f>IFERROR(_xlfn.XLOOKUP(Divisions!C28,'Project Managers'!C:C,'Project Managers'!T:T),0)</f>
        <v>0.35</v>
      </c>
      <c r="T28" s="78">
        <f>IFERROR(_xlfn.XLOOKUP(Divisions!C28,'Project Managers'!C:C,'Project Managers'!U:U),0)</f>
        <v>0</v>
      </c>
      <c r="U28" s="78">
        <f>IFERROR(_xlfn.XLOOKUP(Divisions!C28,'Project Managers'!C:C,'Project Managers'!W:W),0)</f>
        <v>-25.080000000001746</v>
      </c>
      <c r="V28" s="79">
        <f>IFERROR(_xlfn.XLOOKUP(Divisions!C28,'Project Managers'!C:C,'Project Managers'!X:X),0)</f>
        <v>1</v>
      </c>
      <c r="W28" s="80">
        <f>IFERROR(_xlfn.XLOOKUP(Divisions!C28,'Project Managers'!C:C,'Project Managers'!Z:Z),0)</f>
        <v>1</v>
      </c>
      <c r="X28" s="78">
        <f>IFERROR(_xlfn.XLOOKUP(Divisions!C28,'Project Managers'!C:C,'Project Managers'!AA:AA),0)</f>
        <v>25392.92</v>
      </c>
      <c r="Y28" s="78">
        <f>IFERROR(_xlfn.XLOOKUP(Divisions!C28,'Project Managers'!C:C,'Project Managers'!AB:AB),0)</f>
        <v>16499.626341093288</v>
      </c>
      <c r="Z28" s="78">
        <f>IFERROR(_xlfn.XLOOKUP(Divisions!C28,'Project Managers'!C:C,'Project Managers'!AC:AC),0)</f>
        <v>8893.2936589067103</v>
      </c>
      <c r="AA28" s="79">
        <f>IFERROR(_xlfn.XLOOKUP(Divisions!C28,'Project Managers'!C:C,'Project Managers'!AD:AD),0)</f>
        <v>0.35022729402158992</v>
      </c>
      <c r="AB28" s="79">
        <f>IFERROR(_xlfn.XLOOKUP(Divisions!C28,'Project Managers'!C:C,'Project Managers'!AE:AE),0)</f>
        <v>0</v>
      </c>
      <c r="AC28" s="78">
        <f>IFERROR(_xlfn.XLOOKUP(Divisions!C28,'Project Managers'!C:C,'Project Managers'!AF:AF),0)</f>
        <v>0</v>
      </c>
      <c r="AD28" s="78">
        <f>IFERROR(_xlfn.XLOOKUP(Divisions!C28,'Project Managers'!C:C,'Project Managers'!AG:AG),0)</f>
        <v>0</v>
      </c>
      <c r="AE28" s="78">
        <f>IFERROR(_xlfn.XLOOKUP(Divisions!C28,'Project Managers'!C:C,'Project Managers'!AH:AH),0)</f>
        <v>0</v>
      </c>
      <c r="AF28" s="79">
        <f>IFERROR(_xlfn.XLOOKUP(Divisions!C28,'Project Managers'!C:C,'Project Managers'!AI:AI),0)</f>
        <v>0</v>
      </c>
      <c r="AG28" s="79">
        <f>IFERROR(_xlfn.XLOOKUP(Divisions!C28,'Project Managers'!C:C,'Project Managers'!AJ:AJ),0)</f>
        <v>0</v>
      </c>
      <c r="AH28" s="78">
        <f>IFERROR(_xlfn.XLOOKUP(Divisions!C28,'Project Managers'!C:C,'Project Managers'!AK:AK),0)</f>
        <v>0</v>
      </c>
      <c r="AI28" s="78">
        <f>IFERROR(_xlfn.XLOOKUP(Divisions!C28,'Project Managers'!C:C,'Project Managers'!AL:AL),0)</f>
        <v>0</v>
      </c>
      <c r="AJ28" s="78">
        <f>IFERROR(_xlfn.XLOOKUP(Divisions!C28,'Project Managers'!C:C,'Project Managers'!AM:AM),0)</f>
        <v>0</v>
      </c>
      <c r="AK28" s="79">
        <f>IFERROR(_xlfn.XLOOKUP(Divisions!C28,'Project Managers'!C:C,'Project Managers'!AN:AN),0)</f>
        <v>0</v>
      </c>
      <c r="AL28" s="81"/>
      <c r="AM28" s="81"/>
      <c r="AN28" s="81"/>
      <c r="AO28" s="82">
        <f>IFERROR(_xlfn.XLOOKUP(Divisions!C28,'Project Managers'!C:C,'Project Managers'!AR:AR),0)</f>
        <v>0</v>
      </c>
    </row>
    <row r="29" spans="1:44" ht="15" customHeight="1" x14ac:dyDescent="0.2">
      <c r="B29" s="27" t="s">
        <v>139</v>
      </c>
      <c r="C29" s="77" t="s">
        <v>107</v>
      </c>
      <c r="D29" s="27" t="s">
        <v>108</v>
      </c>
      <c r="E29" s="78">
        <v>101940</v>
      </c>
      <c r="F29" s="78">
        <f>IFERROR(Divisions!E29*(1-Divisions!H29),0)</f>
        <v>99235.31</v>
      </c>
      <c r="G29" s="78">
        <f>IFERROR(Divisions!E29-Divisions!F29,0)</f>
        <v>2704.6900000000023</v>
      </c>
      <c r="H29" s="79" cm="1">
        <f t="array" ref="H29">IF(ISBLANK(Divisions!AL29),Divisions!R29,Divisions!AL29)</f>
        <v>2.6532175789680226E-2</v>
      </c>
      <c r="I29" s="78">
        <v>101940</v>
      </c>
      <c r="J29" s="78">
        <v>99235.31</v>
      </c>
      <c r="K29" s="78">
        <f>IFERROR(Divisions!I29-Divisions!J29,0)</f>
        <v>2704.6900000000023</v>
      </c>
      <c r="L29" s="79">
        <f>IFERROR(Divisions!K29/Divisions!I29,0)</f>
        <v>2.6532175789680226E-2</v>
      </c>
      <c r="M29" s="78">
        <v>101940</v>
      </c>
      <c r="N29" s="78">
        <f>IFERROR(IF(Divisions!M29-Divisions!I29&gt;0,Divisions!M29-Divisions!I29,0),0)</f>
        <v>0</v>
      </c>
      <c r="O29" s="78">
        <f>IFERROR(IF(Divisions!M29-Divisions!I29&lt;0,Divisions!M29-Divisions!I29,0),0)</f>
        <v>0</v>
      </c>
      <c r="P29" s="78">
        <f>IFERROR(Divisions!E29-Divisions!I29,0)</f>
        <v>0</v>
      </c>
      <c r="Q29" s="79">
        <f>IFERROR(Divisions!I29/Divisions!E29,0)</f>
        <v>1</v>
      </c>
      <c r="R29" s="80">
        <f>IFERROR(_xlfn.XLOOKUP(Divisions!C29,'Project Managers'!C:C,'Project Managers'!R:R),0)</f>
        <v>2.6532175789680226E-2</v>
      </c>
      <c r="S29" s="79">
        <f>IFERROR(_xlfn.XLOOKUP(Divisions!C29,'Project Managers'!C:C,'Project Managers'!T:T),0)</f>
        <v>2.6499999999999999E-2</v>
      </c>
      <c r="T29" s="78">
        <f>IFERROR(_xlfn.XLOOKUP(Divisions!C29,'Project Managers'!C:C,'Project Managers'!U:U),0)</f>
        <v>0</v>
      </c>
      <c r="U29" s="78">
        <f>IFERROR(_xlfn.XLOOKUP(Divisions!C29,'Project Managers'!C:C,'Project Managers'!W:W),0)</f>
        <v>-3.3692860811570426</v>
      </c>
      <c r="V29" s="79">
        <f>IFERROR(_xlfn.XLOOKUP(Divisions!C29,'Project Managers'!C:C,'Project Managers'!X:X),0)</f>
        <v>1</v>
      </c>
      <c r="W29" s="80">
        <f>IFERROR(_xlfn.XLOOKUP(Divisions!C29,'Project Managers'!C:C,'Project Managers'!Z:Z),0)</f>
        <v>1</v>
      </c>
      <c r="X29" s="78">
        <f>IFERROR(_xlfn.XLOOKUP(Divisions!C29,'Project Managers'!C:C,'Project Managers'!AA:AA),0)</f>
        <v>0</v>
      </c>
      <c r="Y29" s="78">
        <f>IFERROR(_xlfn.XLOOKUP(Divisions!C29,'Project Managers'!C:C,'Project Managers'!AB:AB),0)</f>
        <v>0</v>
      </c>
      <c r="Z29" s="78">
        <f>IFERROR(_xlfn.XLOOKUP(Divisions!C29,'Project Managers'!C:C,'Project Managers'!AC:AC),0)</f>
        <v>0</v>
      </c>
      <c r="AA29" s="79">
        <f>IFERROR(_xlfn.XLOOKUP(Divisions!C29,'Project Managers'!C:C,'Project Managers'!AD:AD),0)</f>
        <v>0</v>
      </c>
      <c r="AB29" s="79">
        <f>IFERROR(_xlfn.XLOOKUP(Divisions!C29,'Project Managers'!C:C,'Project Managers'!AE:AE),0)</f>
        <v>0</v>
      </c>
      <c r="AC29" s="78">
        <f>IFERROR(_xlfn.XLOOKUP(Divisions!C29,'Project Managers'!C:C,'Project Managers'!AF:AF),0)</f>
        <v>0</v>
      </c>
      <c r="AD29" s="78">
        <f>IFERROR(_xlfn.XLOOKUP(Divisions!C29,'Project Managers'!C:C,'Project Managers'!AG:AG),0)</f>
        <v>0</v>
      </c>
      <c r="AE29" s="78">
        <f>IFERROR(_xlfn.XLOOKUP(Divisions!C29,'Project Managers'!C:C,'Project Managers'!AH:AH),0)</f>
        <v>0</v>
      </c>
      <c r="AF29" s="79">
        <f>IFERROR(_xlfn.XLOOKUP(Divisions!C29,'Project Managers'!C:C,'Project Managers'!AI:AI),0)</f>
        <v>0</v>
      </c>
      <c r="AG29" s="79">
        <f>IFERROR(_xlfn.XLOOKUP(Divisions!C29,'Project Managers'!C:C,'Project Managers'!AJ:AJ),0)</f>
        <v>0</v>
      </c>
      <c r="AH29" s="78">
        <f>IFERROR(_xlfn.XLOOKUP(Divisions!C29,'Project Managers'!C:C,'Project Managers'!AK:AK),0)</f>
        <v>0</v>
      </c>
      <c r="AI29" s="78">
        <f>IFERROR(_xlfn.XLOOKUP(Divisions!C29,'Project Managers'!C:C,'Project Managers'!AL:AL),0)</f>
        <v>0</v>
      </c>
      <c r="AJ29" s="78">
        <f>IFERROR(_xlfn.XLOOKUP(Divisions!C29,'Project Managers'!C:C,'Project Managers'!AM:AM),0)</f>
        <v>0</v>
      </c>
      <c r="AK29" s="79">
        <f>IFERROR(_xlfn.XLOOKUP(Divisions!C29,'Project Managers'!C:C,'Project Managers'!AN:AN),0)</f>
        <v>0</v>
      </c>
      <c r="AL29" s="81"/>
      <c r="AM29" s="81"/>
      <c r="AN29" s="81"/>
      <c r="AO29" s="82">
        <f>IFERROR(_xlfn.XLOOKUP(Divisions!C29,'Project Managers'!C:C,'Project Managers'!AR:AR),0)</f>
        <v>0</v>
      </c>
    </row>
    <row r="30" spans="1:44" ht="15" customHeight="1" x14ac:dyDescent="0.2">
      <c r="B30" s="27" t="s">
        <v>139</v>
      </c>
      <c r="C30" s="77" t="s">
        <v>109</v>
      </c>
      <c r="D30" s="27" t="s">
        <v>110</v>
      </c>
      <c r="E30" s="78">
        <v>223936.85</v>
      </c>
      <c r="F30" s="78">
        <f>IFERROR(Divisions!E30*(1-Divisions!H30),0)</f>
        <v>186614.0636573775</v>
      </c>
      <c r="G30" s="78">
        <f>IFERROR(Divisions!E30-Divisions!F30,0)</f>
        <v>37322.786342622509</v>
      </c>
      <c r="H30" s="79" cm="1">
        <f t="array" ref="H30">IF(ISBLANK(Divisions!AL30),Divisions!R30,Divisions!AL30)</f>
        <v>0.16666656846616582</v>
      </c>
      <c r="I30" s="78">
        <v>186692.87</v>
      </c>
      <c r="J30" s="78">
        <v>155577.41</v>
      </c>
      <c r="K30" s="78">
        <f>IFERROR(Divisions!I30-Divisions!J30,0)</f>
        <v>31115.459999999992</v>
      </c>
      <c r="L30" s="79">
        <f>IFERROR(Divisions!K30/Divisions!I30,0)</f>
        <v>0.16666656846616582</v>
      </c>
      <c r="M30" s="78">
        <v>223936.85</v>
      </c>
      <c r="N30" s="78">
        <f>IFERROR(IF(Divisions!M30-Divisions!I30&gt;0,Divisions!M30-Divisions!I30,0),0)</f>
        <v>37243.98000000001</v>
      </c>
      <c r="O30" s="78">
        <f>IFERROR(IF(Divisions!M30-Divisions!I30&lt;0,Divisions!M30-Divisions!I30,0),0)</f>
        <v>0</v>
      </c>
      <c r="P30" s="78">
        <f>IFERROR(Divisions!E30-Divisions!I30,0)</f>
        <v>37243.98000000001</v>
      </c>
      <c r="Q30" s="79">
        <f>IFERROR(Divisions!I30/Divisions!E30,0)</f>
        <v>0.83368534477465406</v>
      </c>
      <c r="R30" s="80">
        <f>IFERROR(_xlfn.XLOOKUP(Divisions!C30,'Project Managers'!C:C,'Project Managers'!R:R),0)</f>
        <v>0.16666656846616582</v>
      </c>
      <c r="S30" s="79">
        <f>IFERROR(_xlfn.XLOOKUP(Divisions!C30,'Project Managers'!C:C,'Project Managers'!T:T),0)</f>
        <v>0.2</v>
      </c>
      <c r="T30" s="78">
        <f>IFERROR(_xlfn.XLOOKUP(Divisions!C30,'Project Managers'!C:C,'Project Managers'!U:U),0)</f>
        <v>0</v>
      </c>
      <c r="U30" s="78">
        <f>IFERROR(_xlfn.XLOOKUP(Divisions!C30,'Project Managers'!C:C,'Project Managers'!W:W),0)</f>
        <v>7778.8924999999872</v>
      </c>
      <c r="V30" s="79">
        <f>IFERROR(_xlfn.XLOOKUP(Divisions!C30,'Project Managers'!C:C,'Project Managers'!X:X),0)</f>
        <v>1</v>
      </c>
      <c r="W30" s="80">
        <f>IFERROR(_xlfn.XLOOKUP(Divisions!C30,'Project Managers'!C:C,'Project Managers'!Z:Z),0)</f>
        <v>1</v>
      </c>
      <c r="X30" s="78">
        <f>IFERROR(_xlfn.XLOOKUP(Divisions!C30,'Project Managers'!C:C,'Project Managers'!AA:AA),0)</f>
        <v>37243.98000000001</v>
      </c>
      <c r="Y30" s="78">
        <f>IFERROR(_xlfn.XLOOKUP(Divisions!C30,'Project Managers'!C:C,'Project Managers'!AB:AB),0)</f>
        <v>31036.653657377497</v>
      </c>
      <c r="Z30" s="78">
        <f>IFERROR(_xlfn.XLOOKUP(Divisions!C30,'Project Managers'!C:C,'Project Managers'!AC:AC),0)</f>
        <v>6207.326342622513</v>
      </c>
      <c r="AA30" s="79">
        <f>IFERROR(_xlfn.XLOOKUP(Divisions!C30,'Project Managers'!C:C,'Project Managers'!AD:AD),0)</f>
        <v>0.16666656846616584</v>
      </c>
      <c r="AB30" s="79">
        <f>IFERROR(_xlfn.XLOOKUP(Divisions!C30,'Project Managers'!C:C,'Project Managers'!AE:AE),0)</f>
        <v>0</v>
      </c>
      <c r="AC30" s="78">
        <f>IFERROR(_xlfn.XLOOKUP(Divisions!C30,'Project Managers'!C:C,'Project Managers'!AF:AF),0)</f>
        <v>0</v>
      </c>
      <c r="AD30" s="78">
        <f>IFERROR(_xlfn.XLOOKUP(Divisions!C30,'Project Managers'!C:C,'Project Managers'!AG:AG),0)</f>
        <v>0</v>
      </c>
      <c r="AE30" s="78">
        <f>IFERROR(_xlfn.XLOOKUP(Divisions!C30,'Project Managers'!C:C,'Project Managers'!AH:AH),0)</f>
        <v>0</v>
      </c>
      <c r="AF30" s="79">
        <f>IFERROR(_xlfn.XLOOKUP(Divisions!C30,'Project Managers'!C:C,'Project Managers'!AI:AI),0)</f>
        <v>0</v>
      </c>
      <c r="AG30" s="79">
        <f>IFERROR(_xlfn.XLOOKUP(Divisions!C30,'Project Managers'!C:C,'Project Managers'!AJ:AJ),0)</f>
        <v>0</v>
      </c>
      <c r="AH30" s="78">
        <f>IFERROR(_xlfn.XLOOKUP(Divisions!C30,'Project Managers'!C:C,'Project Managers'!AK:AK),0)</f>
        <v>0</v>
      </c>
      <c r="AI30" s="78">
        <f>IFERROR(_xlfn.XLOOKUP(Divisions!C30,'Project Managers'!C:C,'Project Managers'!AL:AL),0)</f>
        <v>0</v>
      </c>
      <c r="AJ30" s="78">
        <f>IFERROR(_xlfn.XLOOKUP(Divisions!C30,'Project Managers'!C:C,'Project Managers'!AM:AM),0)</f>
        <v>0</v>
      </c>
      <c r="AK30" s="79">
        <f>IFERROR(_xlfn.XLOOKUP(Divisions!C30,'Project Managers'!C:C,'Project Managers'!AN:AN),0)</f>
        <v>0</v>
      </c>
      <c r="AL30" s="81"/>
      <c r="AM30" s="81"/>
      <c r="AN30" s="81"/>
      <c r="AO30" s="82">
        <f>IFERROR(_xlfn.XLOOKUP(Divisions!C30,'Project Managers'!C:C,'Project Managers'!AR:AR),0)</f>
        <v>0</v>
      </c>
    </row>
    <row r="31" spans="1:44" ht="15" customHeight="1" x14ac:dyDescent="0.2">
      <c r="B31" s="27" t="s">
        <v>139</v>
      </c>
      <c r="C31" s="77" t="s">
        <v>111</v>
      </c>
      <c r="D31" s="27" t="s">
        <v>112</v>
      </c>
      <c r="E31" s="78">
        <v>155587</v>
      </c>
      <c r="F31" s="78">
        <f>IFERROR(Divisions!E31*(1-Divisions!H31),0)</f>
        <v>124469.48297185784</v>
      </c>
      <c r="G31" s="78">
        <f>IFERROR(Divisions!E31-Divisions!F31,0)</f>
        <v>31117.51702814216</v>
      </c>
      <c r="H31" s="79" cm="1">
        <f t="array" ref="H31">IF(ISBLANK(Divisions!AL31),Divisions!R31,Divisions!AL31)</f>
        <v>0.20000075217172492</v>
      </c>
      <c r="I31" s="78">
        <v>29248.639999999999</v>
      </c>
      <c r="J31" s="78">
        <v>23398.89</v>
      </c>
      <c r="K31" s="78">
        <f>IFERROR(Divisions!I31-Divisions!J31,0)</f>
        <v>5849.75</v>
      </c>
      <c r="L31" s="79">
        <f>IFERROR(Divisions!K31/Divisions!I31,0)</f>
        <v>0.20000075217172492</v>
      </c>
      <c r="M31" s="78">
        <v>29762</v>
      </c>
      <c r="N31" s="78">
        <f>IFERROR(IF(Divisions!M31-Divisions!I31&gt;0,Divisions!M31-Divisions!I31,0),0)</f>
        <v>513.36000000000058</v>
      </c>
      <c r="O31" s="78">
        <f>IFERROR(IF(Divisions!M31-Divisions!I31&lt;0,Divisions!M31-Divisions!I31,0),0)</f>
        <v>0</v>
      </c>
      <c r="P31" s="78">
        <f>IFERROR(Divisions!E31-Divisions!I31,0)</f>
        <v>126338.36</v>
      </c>
      <c r="Q31" s="79">
        <f>IFERROR(Divisions!I31/Divisions!E31,0)</f>
        <v>0.18798897080090238</v>
      </c>
      <c r="R31" s="80">
        <f>IFERROR(_xlfn.XLOOKUP(Divisions!C31,'Project Managers'!C:C,'Project Managers'!R:R),0)</f>
        <v>0.20000075217172492</v>
      </c>
      <c r="S31" s="79">
        <f>IFERROR(_xlfn.XLOOKUP(Divisions!C31,'Project Managers'!C:C,'Project Managers'!T:T),0)</f>
        <v>0.2</v>
      </c>
      <c r="T31" s="78">
        <f>IFERROR(_xlfn.XLOOKUP(Divisions!C31,'Project Managers'!C:C,'Project Managers'!U:U),0)</f>
        <v>-3.637978807091713E-12</v>
      </c>
      <c r="U31" s="78">
        <f>IFERROR(_xlfn.XLOOKUP(Divisions!C31,'Project Managers'!C:C,'Project Managers'!W:W),0)</f>
        <v>-2.7500000000145519E-2</v>
      </c>
      <c r="V31" s="79">
        <f>IFERROR(_xlfn.XLOOKUP(Divisions!C31,'Project Managers'!C:C,'Project Managers'!X:X),0)</f>
        <v>1</v>
      </c>
      <c r="W31" s="80">
        <f>IFERROR(_xlfn.XLOOKUP(Divisions!C31,'Project Managers'!C:C,'Project Managers'!Z:Z),0)</f>
        <v>0.2</v>
      </c>
      <c r="X31" s="78">
        <f>IFERROR(_xlfn.XLOOKUP(Divisions!C31,'Project Managers'!C:C,'Project Managers'!AA:AA),0)</f>
        <v>1868.760000000002</v>
      </c>
      <c r="Y31" s="78">
        <f>IFERROR(_xlfn.XLOOKUP(Divisions!C31,'Project Managers'!C:C,'Project Managers'!AB:AB),0)</f>
        <v>1495.006594371569</v>
      </c>
      <c r="Z31" s="78">
        <f>IFERROR(_xlfn.XLOOKUP(Divisions!C31,'Project Managers'!C:C,'Project Managers'!AC:AC),0)</f>
        <v>373.75340562843303</v>
      </c>
      <c r="AA31" s="79">
        <f>IFERROR(_xlfn.XLOOKUP(Divisions!C31,'Project Managers'!C:C,'Project Managers'!AD:AD),0)</f>
        <v>0.20000075217172489</v>
      </c>
      <c r="AB31" s="79">
        <f>IFERROR(_xlfn.XLOOKUP(Divisions!C31,'Project Managers'!C:C,'Project Managers'!AE:AE),0)</f>
        <v>1</v>
      </c>
      <c r="AC31" s="78">
        <f>IFERROR(_xlfn.XLOOKUP(Divisions!C31,'Project Managers'!C:C,'Project Managers'!AF:AF),0)</f>
        <v>124469.6</v>
      </c>
      <c r="AD31" s="78">
        <f>IFERROR(_xlfn.XLOOKUP(Divisions!C31,'Project Managers'!C:C,'Project Managers'!AG:AG),0)</f>
        <v>99575.586377486266</v>
      </c>
      <c r="AE31" s="78">
        <f>IFERROR(_xlfn.XLOOKUP(Divisions!C31,'Project Managers'!C:C,'Project Managers'!AH:AH),0)</f>
        <v>24894.013622513739</v>
      </c>
      <c r="AF31" s="79">
        <f>IFERROR(_xlfn.XLOOKUP(Divisions!C31,'Project Managers'!C:C,'Project Managers'!AI:AI),0)</f>
        <v>0.20000075217172497</v>
      </c>
      <c r="AG31" s="79">
        <f>IFERROR(_xlfn.XLOOKUP(Divisions!C31,'Project Managers'!C:C,'Project Managers'!AJ:AJ),0)</f>
        <v>0</v>
      </c>
      <c r="AH31" s="78">
        <f>IFERROR(_xlfn.XLOOKUP(Divisions!C31,'Project Managers'!C:C,'Project Managers'!AK:AK),0)</f>
        <v>0</v>
      </c>
      <c r="AI31" s="78">
        <f>IFERROR(_xlfn.XLOOKUP(Divisions!C31,'Project Managers'!C:C,'Project Managers'!AL:AL),0)</f>
        <v>0</v>
      </c>
      <c r="AJ31" s="78">
        <f>IFERROR(_xlfn.XLOOKUP(Divisions!C31,'Project Managers'!C:C,'Project Managers'!AM:AM),0)</f>
        <v>0</v>
      </c>
      <c r="AK31" s="79">
        <f>IFERROR(_xlfn.XLOOKUP(Divisions!C31,'Project Managers'!C:C,'Project Managers'!AN:AN),0)</f>
        <v>0</v>
      </c>
      <c r="AL31" s="81"/>
      <c r="AM31" s="81"/>
      <c r="AN31" s="81"/>
      <c r="AO31" s="82">
        <f>IFERROR(_xlfn.XLOOKUP(Divisions!C31,'Project Managers'!C:C,'Project Managers'!AR:AR),0)</f>
        <v>0</v>
      </c>
    </row>
    <row r="32" spans="1:44" ht="15" customHeight="1" x14ac:dyDescent="0.2">
      <c r="B32" s="27" t="s">
        <v>139</v>
      </c>
      <c r="C32" s="77" t="s">
        <v>57</v>
      </c>
      <c r="D32" s="27" t="s">
        <v>58</v>
      </c>
      <c r="E32" s="78">
        <v>11473198</v>
      </c>
      <c r="F32" s="78">
        <f>IFERROR(Divisions!E32*(1-Divisions!H32),0)</f>
        <v>9522754.3399999999</v>
      </c>
      <c r="G32" s="78">
        <f>IFERROR(Divisions!E32-Divisions!F32,0)</f>
        <v>1950443.6600000001</v>
      </c>
      <c r="H32" s="79" cm="1">
        <f t="array" ref="H32">IF(ISBLANK(Divisions!AL32),Divisions!R32,Divisions!AL32)</f>
        <v>0.17</v>
      </c>
      <c r="I32" s="78">
        <v>10565812.699999999</v>
      </c>
      <c r="J32" s="78">
        <v>8976901.1899999995</v>
      </c>
      <c r="K32" s="78">
        <f>IFERROR(Divisions!I32-Divisions!J32,0)</f>
        <v>1588911.5099999998</v>
      </c>
      <c r="L32" s="79">
        <f>IFERROR(Divisions!K32/Divisions!I32,0)</f>
        <v>0.15038232790176187</v>
      </c>
      <c r="M32" s="78">
        <v>10673408.75</v>
      </c>
      <c r="N32" s="78">
        <f>IFERROR(IF(Divisions!M32-Divisions!I32&gt;0,Divisions!M32-Divisions!I32,0),0)</f>
        <v>107596.05000000075</v>
      </c>
      <c r="O32" s="78">
        <f>IFERROR(IF(Divisions!M32-Divisions!I32&lt;0,Divisions!M32-Divisions!I32,0),0)</f>
        <v>0</v>
      </c>
      <c r="P32" s="78">
        <f>IFERROR(Divisions!E32-Divisions!I32,0)</f>
        <v>907385.30000000075</v>
      </c>
      <c r="Q32" s="79">
        <f>IFERROR(Divisions!I32/Divisions!E32,0)</f>
        <v>0.92091260867283897</v>
      </c>
      <c r="R32" s="80">
        <f>IFERROR(_xlfn.XLOOKUP(Divisions!C32,'Project Managers'!C:C,'Project Managers'!R:R),0)</f>
        <v>0.19</v>
      </c>
      <c r="S32" s="79">
        <f>IFERROR(_xlfn.XLOOKUP(Divisions!C32,'Project Managers'!C:C,'Project Managers'!T:T),0)</f>
        <v>0.15</v>
      </c>
      <c r="T32" s="78">
        <f>IFERROR(_xlfn.XLOOKUP(Divisions!C32,'Project Managers'!C:C,'Project Managers'!U:U),0)</f>
        <v>516781.3617283944</v>
      </c>
      <c r="U32" s="78">
        <f>IFERROR(_xlfn.XLOOKUP(Divisions!C32,'Project Managers'!C:C,'Project Managers'!W:W),0)</f>
        <v>-4752.4764705877751</v>
      </c>
      <c r="V32" s="79">
        <f>IFERROR(_xlfn.XLOOKUP(Divisions!C32,'Project Managers'!C:C,'Project Managers'!X:X),0)</f>
        <v>1</v>
      </c>
      <c r="W32" s="80">
        <f>IFERROR(_xlfn.XLOOKUP(Divisions!C32,'Project Managers'!C:C,'Project Managers'!Z:Z),0)</f>
        <v>0.87</v>
      </c>
      <c r="X32" s="78">
        <f>IFERROR(_xlfn.XLOOKUP(Divisions!C32,'Project Managers'!C:C,'Project Managers'!AA:AA),0)</f>
        <v>-584130.43999999948</v>
      </c>
      <c r="Y32" s="78">
        <f>IFERROR(_xlfn.XLOOKUP(Divisions!C32,'Project Managers'!C:C,'Project Managers'!AB:AB),0)</f>
        <v>-496287.54463451914</v>
      </c>
      <c r="Z32" s="78">
        <f>IFERROR(_xlfn.XLOOKUP(Divisions!C32,'Project Managers'!C:C,'Project Managers'!AC:AC),0)</f>
        <v>-87842.895365480334</v>
      </c>
      <c r="AA32" s="79">
        <f>IFERROR(_xlfn.XLOOKUP(Divisions!C32,'Project Managers'!C:C,'Project Managers'!AD:AD),0)</f>
        <v>0.15038232790176181</v>
      </c>
      <c r="AB32" s="79">
        <f>IFERROR(_xlfn.XLOOKUP(Divisions!C32,'Project Managers'!C:C,'Project Managers'!AE:AE),0)</f>
        <v>1</v>
      </c>
      <c r="AC32" s="78">
        <f>IFERROR(_xlfn.XLOOKUP(Divisions!C32,'Project Managers'!C:C,'Project Managers'!AF:AF),0)</f>
        <v>1491515.7400000002</v>
      </c>
      <c r="AD32" s="78">
        <f>IFERROR(_xlfn.XLOOKUP(Divisions!C32,'Project Managers'!C:C,'Project Managers'!AG:AG),0)</f>
        <v>1267218.1309166811</v>
      </c>
      <c r="AE32" s="78">
        <f>IFERROR(_xlfn.XLOOKUP(Divisions!C32,'Project Managers'!C:C,'Project Managers'!AH:AH),0)</f>
        <v>224297.60908331908</v>
      </c>
      <c r="AF32" s="79">
        <f>IFERROR(_xlfn.XLOOKUP(Divisions!C32,'Project Managers'!C:C,'Project Managers'!AI:AI),0)</f>
        <v>0.1503823279017619</v>
      </c>
      <c r="AG32" s="79">
        <f>IFERROR(_xlfn.XLOOKUP(Divisions!C32,'Project Managers'!C:C,'Project Managers'!AJ:AJ),0)</f>
        <v>0</v>
      </c>
      <c r="AH32" s="78">
        <f>IFERROR(_xlfn.XLOOKUP(Divisions!C32,'Project Managers'!C:C,'Project Managers'!AK:AK),0)</f>
        <v>0</v>
      </c>
      <c r="AI32" s="78">
        <f>IFERROR(_xlfn.XLOOKUP(Divisions!C32,'Project Managers'!C:C,'Project Managers'!AL:AL),0)</f>
        <v>0</v>
      </c>
      <c r="AJ32" s="78">
        <f>IFERROR(_xlfn.XLOOKUP(Divisions!C32,'Project Managers'!C:C,'Project Managers'!AM:AM),0)</f>
        <v>0</v>
      </c>
      <c r="AK32" s="79">
        <f>IFERROR(_xlfn.XLOOKUP(Divisions!C32,'Project Managers'!C:C,'Project Managers'!AN:AN),0)</f>
        <v>0</v>
      </c>
      <c r="AL32" s="81">
        <v>0.17</v>
      </c>
      <c r="AM32" s="81">
        <v>0.19</v>
      </c>
      <c r="AN32" s="81"/>
      <c r="AO32" s="82">
        <f>IFERROR(_xlfn.XLOOKUP(Divisions!C32,'Project Managers'!C:C,'Project Managers'!AR:AR),0)</f>
        <v>0</v>
      </c>
    </row>
    <row r="33" spans="2:41" ht="15" customHeight="1" x14ac:dyDescent="0.2">
      <c r="B33" s="27" t="s">
        <v>139</v>
      </c>
      <c r="C33" s="77" t="s">
        <v>81</v>
      </c>
      <c r="D33" s="27" t="s">
        <v>82</v>
      </c>
      <c r="E33" s="78">
        <v>13617357</v>
      </c>
      <c r="F33" s="78">
        <f>IFERROR(Divisions!E33*(1-Divisions!H33),0)</f>
        <v>11438579.879999999</v>
      </c>
      <c r="G33" s="78">
        <f>IFERROR(Divisions!E33-Divisions!F33,0)</f>
        <v>2178777.120000001</v>
      </c>
      <c r="H33" s="79" cm="1">
        <f t="array" ref="H33">IF(ISBLANK(Divisions!AL33),Divisions!R33,Divisions!AL33)</f>
        <v>0.16</v>
      </c>
      <c r="I33" s="78">
        <v>13617357</v>
      </c>
      <c r="J33" s="78">
        <v>12370709.689999999</v>
      </c>
      <c r="K33" s="78">
        <f>IFERROR(Divisions!I33-Divisions!J33,0)</f>
        <v>1246647.3100000005</v>
      </c>
      <c r="L33" s="79">
        <f>IFERROR(Divisions!K33/Divisions!I33,0)</f>
        <v>9.1548404730815283E-2</v>
      </c>
      <c r="M33" s="78">
        <v>13617357</v>
      </c>
      <c r="N33" s="78">
        <f>IFERROR(IF(Divisions!M33-Divisions!I33&gt;0,Divisions!M33-Divisions!I33,0),0)</f>
        <v>0</v>
      </c>
      <c r="O33" s="78">
        <f>IFERROR(IF(Divisions!M33-Divisions!I33&lt;0,Divisions!M33-Divisions!I33,0),0)</f>
        <v>0</v>
      </c>
      <c r="P33" s="78">
        <f>IFERROR(Divisions!E33-Divisions!I33,0)</f>
        <v>0</v>
      </c>
      <c r="Q33" s="79">
        <f>IFERROR(Divisions!I33/Divisions!E33,0)</f>
        <v>1</v>
      </c>
      <c r="R33" s="80">
        <f>IFERROR(_xlfn.XLOOKUP(Divisions!C33,'Project Managers'!C:C,'Project Managers'!R:R),0)</f>
        <v>0.23</v>
      </c>
      <c r="S33" s="79">
        <f>IFERROR(_xlfn.XLOOKUP(Divisions!C33,'Project Managers'!C:C,'Project Managers'!T:T),0)</f>
        <v>8.5000000000000006E-2</v>
      </c>
      <c r="T33" s="78">
        <f>IFERROR(_xlfn.XLOOKUP(Divisions!C33,'Project Managers'!C:C,'Project Managers'!U:U),0)</f>
        <v>2448499.7402597386</v>
      </c>
      <c r="U33" s="78">
        <f>IFERROR(_xlfn.XLOOKUP(Divisions!C33,'Project Managers'!C:C,'Project Managers'!W:W),0)</f>
        <v>-97455.699453553185</v>
      </c>
      <c r="V33" s="79">
        <f>IFERROR(_xlfn.XLOOKUP(Divisions!C33,'Project Managers'!C:C,'Project Managers'!X:X),0)</f>
        <v>1</v>
      </c>
      <c r="W33" s="80">
        <f>IFERROR(_xlfn.XLOOKUP(Divisions!C33,'Project Managers'!C:C,'Project Managers'!Z:Z),0)</f>
        <v>1</v>
      </c>
      <c r="X33" s="78">
        <f>IFERROR(_xlfn.XLOOKUP(Divisions!C33,'Project Managers'!C:C,'Project Managers'!AA:AA),0)</f>
        <v>0</v>
      </c>
      <c r="Y33" s="78">
        <f>IFERROR(_xlfn.XLOOKUP(Divisions!C33,'Project Managers'!C:C,'Project Managers'!AB:AB),0)</f>
        <v>0</v>
      </c>
      <c r="Z33" s="78">
        <f>IFERROR(_xlfn.XLOOKUP(Divisions!C33,'Project Managers'!C:C,'Project Managers'!AC:AC),0)</f>
        <v>0</v>
      </c>
      <c r="AA33" s="79">
        <f>IFERROR(_xlfn.XLOOKUP(Divisions!C33,'Project Managers'!C:C,'Project Managers'!AD:AD),0)</f>
        <v>0</v>
      </c>
      <c r="AB33" s="79">
        <f>IFERROR(_xlfn.XLOOKUP(Divisions!C33,'Project Managers'!C:C,'Project Managers'!AE:AE),0)</f>
        <v>0</v>
      </c>
      <c r="AC33" s="78">
        <f>IFERROR(_xlfn.XLOOKUP(Divisions!C33,'Project Managers'!C:C,'Project Managers'!AF:AF),0)</f>
        <v>0</v>
      </c>
      <c r="AD33" s="78">
        <f>IFERROR(_xlfn.XLOOKUP(Divisions!C33,'Project Managers'!C:C,'Project Managers'!AG:AG),0)</f>
        <v>0</v>
      </c>
      <c r="AE33" s="78">
        <f>IFERROR(_xlfn.XLOOKUP(Divisions!C33,'Project Managers'!C:C,'Project Managers'!AH:AH),0)</f>
        <v>0</v>
      </c>
      <c r="AF33" s="79">
        <f>IFERROR(_xlfn.XLOOKUP(Divisions!C33,'Project Managers'!C:C,'Project Managers'!AI:AI),0)</f>
        <v>0</v>
      </c>
      <c r="AG33" s="79">
        <f>IFERROR(_xlfn.XLOOKUP(Divisions!C33,'Project Managers'!C:C,'Project Managers'!AJ:AJ),0)</f>
        <v>0</v>
      </c>
      <c r="AH33" s="78">
        <f>IFERROR(_xlfn.XLOOKUP(Divisions!C33,'Project Managers'!C:C,'Project Managers'!AK:AK),0)</f>
        <v>0</v>
      </c>
      <c r="AI33" s="78">
        <f>IFERROR(_xlfn.XLOOKUP(Divisions!C33,'Project Managers'!C:C,'Project Managers'!AL:AL),0)</f>
        <v>0</v>
      </c>
      <c r="AJ33" s="78">
        <f>IFERROR(_xlfn.XLOOKUP(Divisions!C33,'Project Managers'!C:C,'Project Managers'!AM:AM),0)</f>
        <v>0</v>
      </c>
      <c r="AK33" s="79">
        <f>IFERROR(_xlfn.XLOOKUP(Divisions!C33,'Project Managers'!C:C,'Project Managers'!AN:AN),0)</f>
        <v>0</v>
      </c>
      <c r="AL33" s="81">
        <v>0.16</v>
      </c>
      <c r="AM33" s="81">
        <v>0.23</v>
      </c>
      <c r="AN33" s="81"/>
      <c r="AO33" s="82">
        <f>IFERROR(_xlfn.XLOOKUP(Divisions!C33,'Project Managers'!C:C,'Project Managers'!AR:AR),0)</f>
        <v>0</v>
      </c>
    </row>
    <row r="34" spans="2:41" ht="15" customHeight="1" x14ac:dyDescent="0.2">
      <c r="B34" s="27" t="s">
        <v>139</v>
      </c>
      <c r="C34" s="77" t="s">
        <v>52</v>
      </c>
      <c r="D34" s="27" t="s">
        <v>53</v>
      </c>
      <c r="E34" s="78">
        <v>128026.07</v>
      </c>
      <c r="F34" s="78">
        <f>IFERROR(Divisions!E34*(1-Divisions!H34),0)</f>
        <v>106193.43897673796</v>
      </c>
      <c r="G34" s="78">
        <f>IFERROR(Divisions!E34-Divisions!F34,0)</f>
        <v>21832.631023262045</v>
      </c>
      <c r="H34" s="79" cm="1">
        <f t="array" ref="H34">IF(ISBLANK(Divisions!AL34),Divisions!R34,Divisions!AL34)</f>
        <v>0.17053269715505634</v>
      </c>
      <c r="I34" s="78">
        <v>124814.07</v>
      </c>
      <c r="J34" s="78">
        <v>103529.19</v>
      </c>
      <c r="K34" s="78">
        <f>IFERROR(Divisions!I34-Divisions!J34,0)</f>
        <v>21284.880000000005</v>
      </c>
      <c r="L34" s="79">
        <f>IFERROR(Divisions!K34/Divisions!I34,0)</f>
        <v>0.17053269715505634</v>
      </c>
      <c r="M34" s="78">
        <v>124814.07</v>
      </c>
      <c r="N34" s="78">
        <f>IFERROR(IF(Divisions!M34-Divisions!I34&gt;0,Divisions!M34-Divisions!I34,0),0)</f>
        <v>0</v>
      </c>
      <c r="O34" s="78">
        <f>IFERROR(IF(Divisions!M34-Divisions!I34&lt;0,Divisions!M34-Divisions!I34,0),0)</f>
        <v>0</v>
      </c>
      <c r="P34" s="78">
        <f>IFERROR(Divisions!E34-Divisions!I34,0)</f>
        <v>3212</v>
      </c>
      <c r="Q34" s="79">
        <f>IFERROR(Divisions!I34/Divisions!E34,0)</f>
        <v>0.97491135985038047</v>
      </c>
      <c r="R34" s="80">
        <f>IFERROR(_xlfn.XLOOKUP(Divisions!C34,'Project Managers'!C:C,'Project Managers'!R:R),0)</f>
        <v>0.17053269715505634</v>
      </c>
      <c r="S34" s="79">
        <f>IFERROR(_xlfn.XLOOKUP(Divisions!C34,'Project Managers'!C:C,'Project Managers'!T:T),0)</f>
        <v>0.15</v>
      </c>
      <c r="T34" s="78">
        <f>IFERROR(_xlfn.XLOOKUP(Divisions!C34,'Project Managers'!C:C,'Project Managers'!U:U),0)</f>
        <v>0</v>
      </c>
      <c r="U34" s="78">
        <f>IFERROR(_xlfn.XLOOKUP(Divisions!C34,'Project Managers'!C:C,'Project Managers'!W:W),0)</f>
        <v>-3015.022941176474</v>
      </c>
      <c r="V34" s="79">
        <f>IFERROR(_xlfn.XLOOKUP(Divisions!C34,'Project Managers'!C:C,'Project Managers'!X:X),0)</f>
        <v>1</v>
      </c>
      <c r="W34" s="80">
        <f>IFERROR(_xlfn.XLOOKUP(Divisions!C34,'Project Managers'!C:C,'Project Managers'!Z:Z),0)</f>
        <v>1</v>
      </c>
      <c r="X34" s="78">
        <f>IFERROR(_xlfn.XLOOKUP(Divisions!C34,'Project Managers'!C:C,'Project Managers'!AA:AA),0)</f>
        <v>3212</v>
      </c>
      <c r="Y34" s="78">
        <f>IFERROR(_xlfn.XLOOKUP(Divisions!C34,'Project Managers'!C:C,'Project Managers'!AB:AB),0)</f>
        <v>2664.2489767379593</v>
      </c>
      <c r="Z34" s="78">
        <f>IFERROR(_xlfn.XLOOKUP(Divisions!C34,'Project Managers'!C:C,'Project Managers'!AC:AC),0)</f>
        <v>547.75102326204069</v>
      </c>
      <c r="AA34" s="79">
        <f>IFERROR(_xlfn.XLOOKUP(Divisions!C34,'Project Managers'!C:C,'Project Managers'!AD:AD),0)</f>
        <v>0.17053269715505626</v>
      </c>
      <c r="AB34" s="79">
        <f>IFERROR(_xlfn.XLOOKUP(Divisions!C34,'Project Managers'!C:C,'Project Managers'!AE:AE),0)</f>
        <v>0</v>
      </c>
      <c r="AC34" s="78">
        <f>IFERROR(_xlfn.XLOOKUP(Divisions!C34,'Project Managers'!C:C,'Project Managers'!AF:AF),0)</f>
        <v>0</v>
      </c>
      <c r="AD34" s="78">
        <f>IFERROR(_xlfn.XLOOKUP(Divisions!C34,'Project Managers'!C:C,'Project Managers'!AG:AG),0)</f>
        <v>0</v>
      </c>
      <c r="AE34" s="78">
        <f>IFERROR(_xlfn.XLOOKUP(Divisions!C34,'Project Managers'!C:C,'Project Managers'!AH:AH),0)</f>
        <v>0</v>
      </c>
      <c r="AF34" s="79">
        <f>IFERROR(_xlfn.XLOOKUP(Divisions!C34,'Project Managers'!C:C,'Project Managers'!AI:AI),0)</f>
        <v>0</v>
      </c>
      <c r="AG34" s="79">
        <f>IFERROR(_xlfn.XLOOKUP(Divisions!C34,'Project Managers'!C:C,'Project Managers'!AJ:AJ),0)</f>
        <v>0</v>
      </c>
      <c r="AH34" s="78">
        <f>IFERROR(_xlfn.XLOOKUP(Divisions!C34,'Project Managers'!C:C,'Project Managers'!AK:AK),0)</f>
        <v>0</v>
      </c>
      <c r="AI34" s="78">
        <f>IFERROR(_xlfn.XLOOKUP(Divisions!C34,'Project Managers'!C:C,'Project Managers'!AL:AL),0)</f>
        <v>0</v>
      </c>
      <c r="AJ34" s="78">
        <f>IFERROR(_xlfn.XLOOKUP(Divisions!C34,'Project Managers'!C:C,'Project Managers'!AM:AM),0)</f>
        <v>0</v>
      </c>
      <c r="AK34" s="79">
        <f>IFERROR(_xlfn.XLOOKUP(Divisions!C34,'Project Managers'!C:C,'Project Managers'!AN:AN),0)</f>
        <v>0</v>
      </c>
      <c r="AL34" s="81"/>
      <c r="AM34" s="81"/>
      <c r="AN34" s="81"/>
      <c r="AO34" s="82">
        <f>IFERROR(_xlfn.XLOOKUP(Divisions!C34,'Project Managers'!C:C,'Project Managers'!AR:AR),0)</f>
        <v>0</v>
      </c>
    </row>
    <row r="35" spans="2:41" ht="15" customHeight="1" x14ac:dyDescent="0.2">
      <c r="B35" s="27" t="s">
        <v>139</v>
      </c>
      <c r="C35" s="77" t="s">
        <v>113</v>
      </c>
      <c r="D35" s="27" t="s">
        <v>114</v>
      </c>
      <c r="E35" s="78">
        <v>8047533.4900000002</v>
      </c>
      <c r="F35" s="78">
        <f>IFERROR(Divisions!E35*(1-Divisions!H35),0)</f>
        <v>6679452.7966999998</v>
      </c>
      <c r="G35" s="78">
        <f>IFERROR(Divisions!E35-Divisions!F35,0)</f>
        <v>1368080.6933000004</v>
      </c>
      <c r="H35" s="79" cm="1">
        <f t="array" ref="H35">IF(ISBLANK(Divisions!AL35),Divisions!R35,Divisions!AL35)</f>
        <v>0.17</v>
      </c>
      <c r="I35" s="78">
        <v>6563124.9500000002</v>
      </c>
      <c r="J35" s="78">
        <v>5446576.6299999999</v>
      </c>
      <c r="K35" s="78">
        <f>IFERROR(Divisions!I35-Divisions!J35,0)</f>
        <v>1116548.3200000003</v>
      </c>
      <c r="L35" s="79">
        <f>IFERROR(Divisions!K35/Divisions!I35,0)</f>
        <v>0.17012449534424912</v>
      </c>
      <c r="M35" s="78">
        <v>6409924.4400000004</v>
      </c>
      <c r="N35" s="78">
        <f>IFERROR(IF(Divisions!M35-Divisions!I35&gt;0,Divisions!M35-Divisions!I35,0),0)</f>
        <v>0</v>
      </c>
      <c r="O35" s="78">
        <f>IFERROR(IF(Divisions!M35-Divisions!I35&lt;0,Divisions!M35-Divisions!I35,0),0)</f>
        <v>-153200.50999999978</v>
      </c>
      <c r="P35" s="78">
        <f>IFERROR(Divisions!E35-Divisions!I35,0)</f>
        <v>1484408.54</v>
      </c>
      <c r="Q35" s="79">
        <f>IFERROR(Divisions!I35/Divisions!E35,0)</f>
        <v>0.81554490679106206</v>
      </c>
      <c r="R35" s="80">
        <f>IFERROR(_xlfn.XLOOKUP(Divisions!C35,'Project Managers'!C:C,'Project Managers'!R:R),0)</f>
        <v>0.22</v>
      </c>
      <c r="S35" s="79">
        <f>IFERROR(_xlfn.XLOOKUP(Divisions!C35,'Project Managers'!C:C,'Project Managers'!T:T),0)</f>
        <v>0.2</v>
      </c>
      <c r="T35" s="78">
        <f>IFERROR(_xlfn.XLOOKUP(Divisions!C35,'Project Managers'!C:C,'Project Managers'!U:U),0)</f>
        <v>419665.60128205083</v>
      </c>
      <c r="U35" s="78">
        <f>IFERROR(_xlfn.XLOOKUP(Divisions!C35,'Project Managers'!C:C,'Project Managers'!W:W),0)</f>
        <v>245095.83749999944</v>
      </c>
      <c r="V35" s="79">
        <f>IFERROR(_xlfn.XLOOKUP(Divisions!C35,'Project Managers'!C:C,'Project Managers'!X:X),0)</f>
        <v>1</v>
      </c>
      <c r="W35" s="80">
        <f>IFERROR(_xlfn.XLOOKUP(Divisions!C35,'Project Managers'!C:C,'Project Managers'!Z:Z),0)</f>
        <v>0.9</v>
      </c>
      <c r="X35" s="78">
        <f>IFERROR(_xlfn.XLOOKUP(Divisions!C35,'Project Managers'!C:C,'Project Managers'!AA:AA),0)</f>
        <v>679655.19100000057</v>
      </c>
      <c r="Y35" s="78">
        <f>IFERROR(_xlfn.XLOOKUP(Divisions!C35,'Project Managers'!C:C,'Project Managers'!AB:AB),0)</f>
        <v>564029.19462302618</v>
      </c>
      <c r="Z35" s="78">
        <f>IFERROR(_xlfn.XLOOKUP(Divisions!C35,'Project Managers'!C:C,'Project Managers'!AC:AC),0)</f>
        <v>115625.99637697439</v>
      </c>
      <c r="AA35" s="79">
        <f>IFERROR(_xlfn.XLOOKUP(Divisions!C35,'Project Managers'!C:C,'Project Managers'!AD:AD),0)</f>
        <v>0.1701244953442492</v>
      </c>
      <c r="AB35" s="79">
        <f>IFERROR(_xlfn.XLOOKUP(Divisions!C35,'Project Managers'!C:C,'Project Managers'!AE:AE),0)</f>
        <v>1</v>
      </c>
      <c r="AC35" s="78">
        <f>IFERROR(_xlfn.XLOOKUP(Divisions!C35,'Project Managers'!C:C,'Project Managers'!AF:AF),0)</f>
        <v>804753.34899999946</v>
      </c>
      <c r="AD35" s="78">
        <f>IFERROR(_xlfn.XLOOKUP(Divisions!C35,'Project Managers'!C:C,'Project Managers'!AG:AG),0)</f>
        <v>667845.09162478021</v>
      </c>
      <c r="AE35" s="78">
        <f>IFERROR(_xlfn.XLOOKUP(Divisions!C35,'Project Managers'!C:C,'Project Managers'!AH:AH),0)</f>
        <v>136908.25737521925</v>
      </c>
      <c r="AF35" s="79">
        <f>IFERROR(_xlfn.XLOOKUP(Divisions!C35,'Project Managers'!C:C,'Project Managers'!AI:AI),0)</f>
        <v>0.17012449534424906</v>
      </c>
      <c r="AG35" s="79">
        <f>IFERROR(_xlfn.XLOOKUP(Divisions!C35,'Project Managers'!C:C,'Project Managers'!AJ:AJ),0)</f>
        <v>0</v>
      </c>
      <c r="AH35" s="78">
        <f>IFERROR(_xlfn.XLOOKUP(Divisions!C35,'Project Managers'!C:C,'Project Managers'!AK:AK),0)</f>
        <v>0</v>
      </c>
      <c r="AI35" s="78">
        <f>IFERROR(_xlfn.XLOOKUP(Divisions!C35,'Project Managers'!C:C,'Project Managers'!AL:AL),0)</f>
        <v>0</v>
      </c>
      <c r="AJ35" s="78">
        <f>IFERROR(_xlfn.XLOOKUP(Divisions!C35,'Project Managers'!C:C,'Project Managers'!AM:AM),0)</f>
        <v>0</v>
      </c>
      <c r="AK35" s="79">
        <f>IFERROR(_xlfn.XLOOKUP(Divisions!C35,'Project Managers'!C:C,'Project Managers'!AN:AN),0)</f>
        <v>0</v>
      </c>
      <c r="AL35" s="81">
        <v>0.17</v>
      </c>
      <c r="AM35" s="81">
        <v>0.22</v>
      </c>
      <c r="AN35" s="81"/>
      <c r="AO35" s="82">
        <f>IFERROR(_xlfn.XLOOKUP(Divisions!C35,'Project Managers'!C:C,'Project Managers'!AR:AR),0)</f>
        <v>0</v>
      </c>
    </row>
    <row r="36" spans="2:41" ht="15" customHeight="1" x14ac:dyDescent="0.2">
      <c r="B36" s="27" t="s">
        <v>139</v>
      </c>
      <c r="C36" s="77" t="s">
        <v>83</v>
      </c>
      <c r="D36" s="27" t="s">
        <v>84</v>
      </c>
      <c r="E36" s="78">
        <v>1188326</v>
      </c>
      <c r="F36" s="78">
        <f>IFERROR(Divisions!E36*(1-Divisions!H36),0)</f>
        <v>986310.58</v>
      </c>
      <c r="G36" s="78">
        <f>IFERROR(Divisions!E36-Divisions!F36,0)</f>
        <v>202015.42000000004</v>
      </c>
      <c r="H36" s="79" cm="1">
        <f t="array" ref="H36">IF(ISBLANK(Divisions!AL36),Divisions!R36,Divisions!AL36)</f>
        <v>0.17</v>
      </c>
      <c r="I36" s="78">
        <v>364066.55</v>
      </c>
      <c r="J36" s="78">
        <v>316579.52</v>
      </c>
      <c r="K36" s="78">
        <f>IFERROR(Divisions!I36-Divisions!J36,0)</f>
        <v>47487.02999999997</v>
      </c>
      <c r="L36" s="79">
        <f>IFERROR(Divisions!K36/Divisions!I36,0)</f>
        <v>0.13043502623352782</v>
      </c>
      <c r="M36" s="78">
        <v>259600</v>
      </c>
      <c r="N36" s="78">
        <f>IFERROR(IF(Divisions!M36-Divisions!I36&gt;0,Divisions!M36-Divisions!I36,0),0)</f>
        <v>0</v>
      </c>
      <c r="O36" s="78">
        <f>IFERROR(IF(Divisions!M36-Divisions!I36&lt;0,Divisions!M36-Divisions!I36,0),0)</f>
        <v>-104466.54999999999</v>
      </c>
      <c r="P36" s="78">
        <f>IFERROR(Divisions!E36-Divisions!I36,0)</f>
        <v>824259.45</v>
      </c>
      <c r="Q36" s="79">
        <f>IFERROR(Divisions!I36/Divisions!E36,0)</f>
        <v>0.30636925389160885</v>
      </c>
      <c r="R36" s="80">
        <f>IFERROR(_xlfn.XLOOKUP(Divisions!C36,'Project Managers'!C:C,'Project Managers'!R:R),0)</f>
        <v>0.18</v>
      </c>
      <c r="S36" s="79">
        <f>IFERROR(_xlfn.XLOOKUP(Divisions!C36,'Project Managers'!C:C,'Project Managers'!T:T),0)</f>
        <v>0.13</v>
      </c>
      <c r="T36" s="78">
        <f>IFERROR(_xlfn.XLOOKUP(Divisions!C36,'Project Managers'!C:C,'Project Managers'!U:U),0)</f>
        <v>22006.035365853691</v>
      </c>
      <c r="U36" s="78">
        <f>IFERROR(_xlfn.XLOOKUP(Divisions!C36,'Project Managers'!C:C,'Project Managers'!W:W),0)</f>
        <v>-182.04425287351478</v>
      </c>
      <c r="V36" s="79">
        <f>IFERROR(_xlfn.XLOOKUP(Divisions!C36,'Project Managers'!C:C,'Project Managers'!X:X),0)</f>
        <v>1</v>
      </c>
      <c r="W36" s="80">
        <f>IFERROR(_xlfn.XLOOKUP(Divisions!C36,'Project Managers'!C:C,'Project Managers'!Z:Z),0)</f>
        <v>0.3</v>
      </c>
      <c r="X36" s="78">
        <f>IFERROR(_xlfn.XLOOKUP(Divisions!C36,'Project Managers'!C:C,'Project Managers'!AA:AA),0)</f>
        <v>-7568.75</v>
      </c>
      <c r="Y36" s="78">
        <f>IFERROR(_xlfn.XLOOKUP(Divisions!C36,'Project Managers'!C:C,'Project Managers'!AB:AB),0)</f>
        <v>-6581.519895194986</v>
      </c>
      <c r="Z36" s="78">
        <f>IFERROR(_xlfn.XLOOKUP(Divisions!C36,'Project Managers'!C:C,'Project Managers'!AC:AC),0)</f>
        <v>-987.23010480501398</v>
      </c>
      <c r="AA36" s="79">
        <f>IFERROR(_xlfn.XLOOKUP(Divisions!C36,'Project Managers'!C:C,'Project Managers'!AD:AD),0)</f>
        <v>0.13043502623352785</v>
      </c>
      <c r="AB36" s="79">
        <f>IFERROR(_xlfn.XLOOKUP(Divisions!C36,'Project Managers'!C:C,'Project Managers'!AE:AE),0)</f>
        <v>1</v>
      </c>
      <c r="AC36" s="78">
        <f>IFERROR(_xlfn.XLOOKUP(Divisions!C36,'Project Managers'!C:C,'Project Managers'!AF:AF),0)</f>
        <v>831828.2</v>
      </c>
      <c r="AD36" s="78">
        <f>IFERROR(_xlfn.XLOOKUP(Divisions!C36,'Project Managers'!C:C,'Project Managers'!AG:AG),0)</f>
        <v>723328.6669112118</v>
      </c>
      <c r="AE36" s="78">
        <f>IFERROR(_xlfn.XLOOKUP(Divisions!C36,'Project Managers'!C:C,'Project Managers'!AH:AH),0)</f>
        <v>108499.53308878816</v>
      </c>
      <c r="AF36" s="79">
        <f>IFERROR(_xlfn.XLOOKUP(Divisions!C36,'Project Managers'!C:C,'Project Managers'!AI:AI),0)</f>
        <v>0.13043502623352773</v>
      </c>
      <c r="AG36" s="79">
        <f>IFERROR(_xlfn.XLOOKUP(Divisions!C36,'Project Managers'!C:C,'Project Managers'!AJ:AJ),0)</f>
        <v>0</v>
      </c>
      <c r="AH36" s="78">
        <f>IFERROR(_xlfn.XLOOKUP(Divisions!C36,'Project Managers'!C:C,'Project Managers'!AK:AK),0)</f>
        <v>0</v>
      </c>
      <c r="AI36" s="78">
        <f>IFERROR(_xlfn.XLOOKUP(Divisions!C36,'Project Managers'!C:C,'Project Managers'!AL:AL),0)</f>
        <v>0</v>
      </c>
      <c r="AJ36" s="78">
        <f>IFERROR(_xlfn.XLOOKUP(Divisions!C36,'Project Managers'!C:C,'Project Managers'!AM:AM),0)</f>
        <v>0</v>
      </c>
      <c r="AK36" s="79">
        <f>IFERROR(_xlfn.XLOOKUP(Divisions!C36,'Project Managers'!C:C,'Project Managers'!AN:AN),0)</f>
        <v>0</v>
      </c>
      <c r="AL36" s="81">
        <v>0.17</v>
      </c>
      <c r="AM36" s="81">
        <v>0.18</v>
      </c>
      <c r="AN36" s="81"/>
      <c r="AO36" s="82">
        <f>IFERROR(_xlfn.XLOOKUP(Divisions!C36,'Project Managers'!C:C,'Project Managers'!AR:AR),0)</f>
        <v>0</v>
      </c>
    </row>
    <row r="37" spans="2:41" ht="15" customHeight="1" x14ac:dyDescent="0.2">
      <c r="B37" s="27" t="s">
        <v>139</v>
      </c>
      <c r="C37" s="77" t="s">
        <v>65</v>
      </c>
      <c r="D37" s="27" t="s">
        <v>66</v>
      </c>
      <c r="E37" s="78">
        <v>10936331.73</v>
      </c>
      <c r="F37" s="78">
        <f>IFERROR(Divisions!E37*(1-Divisions!H37),0)</f>
        <v>8858428.7013000008</v>
      </c>
      <c r="G37" s="78">
        <f>IFERROR(Divisions!E37-Divisions!F37,0)</f>
        <v>2077903.0286999997</v>
      </c>
      <c r="H37" s="79" cm="1">
        <f t="array" ref="H37">IF(ISBLANK(Divisions!AL37),Divisions!R37,Divisions!AL37)</f>
        <v>0.19</v>
      </c>
      <c r="I37" s="78">
        <v>2811002.65</v>
      </c>
      <c r="J37" s="78">
        <v>2342502.19</v>
      </c>
      <c r="K37" s="78">
        <f>IFERROR(Divisions!I37-Divisions!J37,0)</f>
        <v>468500.45999999996</v>
      </c>
      <c r="L37" s="79">
        <f>IFERROR(Divisions!K37/Divisions!I37,0)</f>
        <v>0.16666667318865744</v>
      </c>
      <c r="M37" s="78">
        <v>3561220.13</v>
      </c>
      <c r="N37" s="78">
        <f>IFERROR(IF(Divisions!M37-Divisions!I37&gt;0,Divisions!M37-Divisions!I37,0),0)</f>
        <v>750217.48</v>
      </c>
      <c r="O37" s="78">
        <f>IFERROR(IF(Divisions!M37-Divisions!I37&lt;0,Divisions!M37-Divisions!I37,0),0)</f>
        <v>0</v>
      </c>
      <c r="P37" s="78">
        <f>IFERROR(Divisions!E37-Divisions!I37,0)</f>
        <v>8125329.0800000001</v>
      </c>
      <c r="Q37" s="79">
        <f>IFERROR(Divisions!I37/Divisions!E37,0)</f>
        <v>0.25703341114726774</v>
      </c>
      <c r="R37" s="80">
        <f>IFERROR(_xlfn.XLOOKUP(Divisions!C37,'Project Managers'!C:C,'Project Managers'!R:R),0)</f>
        <v>0.18</v>
      </c>
      <c r="S37" s="79">
        <f>IFERROR(_xlfn.XLOOKUP(Divisions!C37,'Project Managers'!C:C,'Project Managers'!T:T),0)</f>
        <v>0.18</v>
      </c>
      <c r="T37" s="78">
        <f>IFERROR(_xlfn.XLOOKUP(Divisions!C37,'Project Managers'!C:C,'Project Managers'!U:U),0)</f>
        <v>45707.337804877665</v>
      </c>
      <c r="U37" s="78">
        <f>IFERROR(_xlfn.XLOOKUP(Divisions!C37,'Project Managers'!C:C,'Project Managers'!W:W),0)</f>
        <v>45707.337804877665</v>
      </c>
      <c r="V37" s="79">
        <f>IFERROR(_xlfn.XLOOKUP(Divisions!C37,'Project Managers'!C:C,'Project Managers'!X:X),0)</f>
        <v>1</v>
      </c>
      <c r="W37" s="80">
        <f>IFERROR(_xlfn.XLOOKUP(Divisions!C37,'Project Managers'!C:C,'Project Managers'!Z:Z),0)</f>
        <v>0.26</v>
      </c>
      <c r="X37" s="78">
        <f>IFERROR(_xlfn.XLOOKUP(Divisions!C37,'Project Managers'!C:C,'Project Managers'!AA:AA),0)</f>
        <v>32443.599800000433</v>
      </c>
      <c r="Y37" s="78">
        <f>IFERROR(_xlfn.XLOOKUP(Divisions!C37,'Project Managers'!C:C,'Project Managers'!AB:AB),0)</f>
        <v>27036.332955070167</v>
      </c>
      <c r="Z37" s="78">
        <f>IFERROR(_xlfn.XLOOKUP(Divisions!C37,'Project Managers'!C:C,'Project Managers'!AC:AC),0)</f>
        <v>5407.2668449302655</v>
      </c>
      <c r="AA37" s="79">
        <f>IFERROR(_xlfn.XLOOKUP(Divisions!C37,'Project Managers'!C:C,'Project Managers'!AD:AD),0)</f>
        <v>0.16666667318865749</v>
      </c>
      <c r="AB37" s="79">
        <f>IFERROR(_xlfn.XLOOKUP(Divisions!C37,'Project Managers'!C:C,'Project Managers'!AE:AE),0)</f>
        <v>1</v>
      </c>
      <c r="AC37" s="78">
        <f>IFERROR(_xlfn.XLOOKUP(Divisions!C37,'Project Managers'!C:C,'Project Managers'!AF:AF),0)</f>
        <v>8092885.4802000001</v>
      </c>
      <c r="AD37" s="78">
        <f>IFERROR(_xlfn.XLOOKUP(Divisions!C37,'Project Managers'!C:C,'Project Managers'!AG:AG),0)</f>
        <v>6744071.1807182757</v>
      </c>
      <c r="AE37" s="78">
        <f>IFERROR(_xlfn.XLOOKUP(Divisions!C37,'Project Managers'!C:C,'Project Managers'!AH:AH),0)</f>
        <v>1348814.2994817244</v>
      </c>
      <c r="AF37" s="79">
        <f>IFERROR(_xlfn.XLOOKUP(Divisions!C37,'Project Managers'!C:C,'Project Managers'!AI:AI),0)</f>
        <v>0.16666667318865744</v>
      </c>
      <c r="AG37" s="79">
        <f>IFERROR(_xlfn.XLOOKUP(Divisions!C37,'Project Managers'!C:C,'Project Managers'!AJ:AJ),0)</f>
        <v>1</v>
      </c>
      <c r="AH37" s="78">
        <f>IFERROR(_xlfn.XLOOKUP(Divisions!C37,'Project Managers'!C:C,'Project Managers'!AK:AK),0)</f>
        <v>0</v>
      </c>
      <c r="AI37" s="78">
        <f>IFERROR(_xlfn.XLOOKUP(Divisions!C37,'Project Managers'!C:C,'Project Managers'!AL:AL),0)</f>
        <v>0</v>
      </c>
      <c r="AJ37" s="78">
        <f>IFERROR(_xlfn.XLOOKUP(Divisions!C37,'Project Managers'!C:C,'Project Managers'!AM:AM),0)</f>
        <v>0</v>
      </c>
      <c r="AK37" s="79">
        <f>IFERROR(_xlfn.XLOOKUP(Divisions!C37,'Project Managers'!C:C,'Project Managers'!AN:AN),0)</f>
        <v>0</v>
      </c>
      <c r="AL37" s="81">
        <v>0.19</v>
      </c>
      <c r="AM37" s="81">
        <v>0.18</v>
      </c>
      <c r="AN37" s="81"/>
      <c r="AO37" s="82">
        <f>IFERROR(_xlfn.XLOOKUP(Divisions!C37,'Project Managers'!C:C,'Project Managers'!AR:AR),0)</f>
        <v>0</v>
      </c>
    </row>
    <row r="38" spans="2:41" ht="15" customHeight="1" x14ac:dyDescent="0.2">
      <c r="B38" s="27" t="s">
        <v>139</v>
      </c>
      <c r="C38" s="77" t="s">
        <v>77</v>
      </c>
      <c r="D38" s="27" t="s">
        <v>78</v>
      </c>
      <c r="E38" s="78">
        <v>3751721</v>
      </c>
      <c r="F38" s="78">
        <f>IFERROR(Divisions!E38*(1-Divisions!H38),0)</f>
        <v>3100595.8857500078</v>
      </c>
      <c r="G38" s="78">
        <f>IFERROR(Divisions!E38-Divisions!F38,0)</f>
        <v>651125.11424999218</v>
      </c>
      <c r="H38" s="79" cm="1">
        <f t="array" ref="H38">IF(ISBLANK(Divisions!AL38),Divisions!R38,Divisions!AL38)</f>
        <v>0.17355371421542062</v>
      </c>
      <c r="I38" s="78">
        <v>1327737.07</v>
      </c>
      <c r="J38" s="78">
        <v>1097303.3700000001</v>
      </c>
      <c r="K38" s="78">
        <f>IFERROR(Divisions!I38-Divisions!J38,0)</f>
        <v>230433.69999999995</v>
      </c>
      <c r="L38" s="79">
        <f>IFERROR(Divisions!K38/Divisions!I38,0)</f>
        <v>0.17355371421542062</v>
      </c>
      <c r="M38" s="78">
        <v>1172929</v>
      </c>
      <c r="N38" s="78">
        <f>IFERROR(IF(Divisions!M38-Divisions!I38&gt;0,Divisions!M38-Divisions!I38,0),0)</f>
        <v>0</v>
      </c>
      <c r="O38" s="78">
        <f>IFERROR(IF(Divisions!M38-Divisions!I38&lt;0,Divisions!M38-Divisions!I38,0),0)</f>
        <v>-154808.07000000007</v>
      </c>
      <c r="P38" s="78">
        <f>IFERROR(Divisions!E38-Divisions!I38,0)</f>
        <v>2423983.9299999997</v>
      </c>
      <c r="Q38" s="79">
        <f>IFERROR(Divisions!I38/Divisions!E38,0)</f>
        <v>0.35390080179203093</v>
      </c>
      <c r="R38" s="80">
        <f>IFERROR(_xlfn.XLOOKUP(Divisions!C38,'Project Managers'!C:C,'Project Managers'!R:R),0)</f>
        <v>0.17355371421542062</v>
      </c>
      <c r="S38" s="79">
        <f>IFERROR(_xlfn.XLOOKUP(Divisions!C38,'Project Managers'!C:C,'Project Managers'!T:T),0)</f>
        <v>0.17</v>
      </c>
      <c r="T38" s="78">
        <f>IFERROR(_xlfn.XLOOKUP(Divisions!C38,'Project Managers'!C:C,'Project Managers'!U:U),0)</f>
        <v>0</v>
      </c>
      <c r="U38" s="78">
        <f>IFERROR(_xlfn.XLOOKUP(Divisions!C38,'Project Managers'!C:C,'Project Managers'!W:W),0)</f>
        <v>-5684.8169879517518</v>
      </c>
      <c r="V38" s="79">
        <f>IFERROR(_xlfn.XLOOKUP(Divisions!C38,'Project Managers'!C:C,'Project Managers'!X:X),0)</f>
        <v>1</v>
      </c>
      <c r="W38" s="80">
        <f>IFERROR(_xlfn.XLOOKUP(Divisions!C38,'Project Managers'!C:C,'Project Managers'!Z:Z),0)</f>
        <v>0.4</v>
      </c>
      <c r="X38" s="78">
        <f>IFERROR(_xlfn.XLOOKUP(Divisions!C38,'Project Managers'!C:C,'Project Managers'!AA:AA),0)</f>
        <v>172951.33000000007</v>
      </c>
      <c r="Y38" s="78">
        <f>IFERROR(_xlfn.XLOOKUP(Divisions!C38,'Project Managers'!C:C,'Project Managers'!AB:AB),0)</f>
        <v>142934.98430000315</v>
      </c>
      <c r="Z38" s="78">
        <f>IFERROR(_xlfn.XLOOKUP(Divisions!C38,'Project Managers'!C:C,'Project Managers'!AC:AC),0)</f>
        <v>30016.34569999692</v>
      </c>
      <c r="AA38" s="79">
        <f>IFERROR(_xlfn.XLOOKUP(Divisions!C38,'Project Managers'!C:C,'Project Managers'!AD:AD),0)</f>
        <v>0.17355371421542065</v>
      </c>
      <c r="AB38" s="79">
        <f>IFERROR(_xlfn.XLOOKUP(Divisions!C38,'Project Managers'!C:C,'Project Managers'!AE:AE),0)</f>
        <v>1</v>
      </c>
      <c r="AC38" s="78">
        <f>IFERROR(_xlfn.XLOOKUP(Divisions!C38,'Project Managers'!C:C,'Project Managers'!AF:AF),0)</f>
        <v>2251032.5999999996</v>
      </c>
      <c r="AD38" s="78">
        <f>IFERROR(_xlfn.XLOOKUP(Divisions!C38,'Project Managers'!C:C,'Project Managers'!AG:AG),0)</f>
        <v>1860357.5314500043</v>
      </c>
      <c r="AE38" s="78">
        <f>IFERROR(_xlfn.XLOOKUP(Divisions!C38,'Project Managers'!C:C,'Project Managers'!AH:AH),0)</f>
        <v>390675.06854999531</v>
      </c>
      <c r="AF38" s="79">
        <f>IFERROR(_xlfn.XLOOKUP(Divisions!C38,'Project Managers'!C:C,'Project Managers'!AI:AI),0)</f>
        <v>0.17355371421542068</v>
      </c>
      <c r="AG38" s="79">
        <f>IFERROR(_xlfn.XLOOKUP(Divisions!C38,'Project Managers'!C:C,'Project Managers'!AJ:AJ),0)</f>
        <v>0</v>
      </c>
      <c r="AH38" s="78">
        <f>IFERROR(_xlfn.XLOOKUP(Divisions!C38,'Project Managers'!C:C,'Project Managers'!AK:AK),0)</f>
        <v>0</v>
      </c>
      <c r="AI38" s="78">
        <f>IFERROR(_xlfn.XLOOKUP(Divisions!C38,'Project Managers'!C:C,'Project Managers'!AL:AL),0)</f>
        <v>0</v>
      </c>
      <c r="AJ38" s="78">
        <f>IFERROR(_xlfn.XLOOKUP(Divisions!C38,'Project Managers'!C:C,'Project Managers'!AM:AM),0)</f>
        <v>0</v>
      </c>
      <c r="AK38" s="79">
        <f>IFERROR(_xlfn.XLOOKUP(Divisions!C38,'Project Managers'!C:C,'Project Managers'!AN:AN),0)</f>
        <v>0</v>
      </c>
      <c r="AL38" s="81"/>
      <c r="AM38" s="81"/>
      <c r="AN38" s="81"/>
      <c r="AO38" s="82">
        <f>IFERROR(_xlfn.XLOOKUP(Divisions!C38,'Project Managers'!C:C,'Project Managers'!AR:AR),0)</f>
        <v>0</v>
      </c>
    </row>
    <row r="39" spans="2:41" ht="15" customHeight="1" x14ac:dyDescent="0.2">
      <c r="B39" s="27" t="s">
        <v>139</v>
      </c>
      <c r="C39" s="77" t="s">
        <v>59</v>
      </c>
      <c r="D39" s="27" t="s">
        <v>60</v>
      </c>
      <c r="E39" s="78">
        <v>404338.1</v>
      </c>
      <c r="F39" s="78">
        <f>IFERROR(Divisions!E39*(1-Divisions!H39),0)</f>
        <v>337510.94794375903</v>
      </c>
      <c r="G39" s="78">
        <f>IFERROR(Divisions!E39-Divisions!F39,0)</f>
        <v>66827.152056240942</v>
      </c>
      <c r="H39" s="79" cm="1">
        <f t="array" ref="H39">IF(ISBLANK(Divisions!AL39),Divisions!R39,Divisions!AL39)</f>
        <v>0.16527542681790555</v>
      </c>
      <c r="I39" s="78">
        <v>395116.39</v>
      </c>
      <c r="J39" s="78">
        <v>329813.36</v>
      </c>
      <c r="K39" s="78">
        <f>IFERROR(Divisions!I39-Divisions!J39,0)</f>
        <v>65303.030000000028</v>
      </c>
      <c r="L39" s="79">
        <f>IFERROR(Divisions!K39/Divisions!I39,0)</f>
        <v>0.16527542681790555</v>
      </c>
      <c r="M39" s="78">
        <v>404338.1</v>
      </c>
      <c r="N39" s="78">
        <f>IFERROR(IF(Divisions!M39-Divisions!I39&gt;0,Divisions!M39-Divisions!I39,0),0)</f>
        <v>9221.7099999999627</v>
      </c>
      <c r="O39" s="78">
        <f>IFERROR(IF(Divisions!M39-Divisions!I39&lt;0,Divisions!M39-Divisions!I39,0),0)</f>
        <v>0</v>
      </c>
      <c r="P39" s="78">
        <f>IFERROR(Divisions!E39-Divisions!I39,0)</f>
        <v>9221.7099999999627</v>
      </c>
      <c r="Q39" s="79">
        <f>IFERROR(Divisions!I39/Divisions!E39,0)</f>
        <v>0.9771930718376528</v>
      </c>
      <c r="R39" s="80">
        <f>IFERROR(_xlfn.XLOOKUP(Divisions!C39,'Project Managers'!C:C,'Project Managers'!R:R),0)</f>
        <v>0.16527542681790555</v>
      </c>
      <c r="S39" s="79">
        <f>IFERROR(_xlfn.XLOOKUP(Divisions!C39,'Project Managers'!C:C,'Project Managers'!T:T),0)</f>
        <v>0.17</v>
      </c>
      <c r="T39" s="78">
        <f>IFERROR(_xlfn.XLOOKUP(Divisions!C39,'Project Managers'!C:C,'Project Managers'!U:U),0)</f>
        <v>0</v>
      </c>
      <c r="U39" s="78">
        <f>IFERROR(_xlfn.XLOOKUP(Divisions!C39,'Project Managers'!C:C,'Project Managers'!W:W),0)</f>
        <v>2249.1039759035921</v>
      </c>
      <c r="V39" s="79">
        <f>IFERROR(_xlfn.XLOOKUP(Divisions!C39,'Project Managers'!C:C,'Project Managers'!X:X),0)</f>
        <v>1</v>
      </c>
      <c r="W39" s="80">
        <f>IFERROR(_xlfn.XLOOKUP(Divisions!C39,'Project Managers'!C:C,'Project Managers'!Z:Z),0)</f>
        <v>1</v>
      </c>
      <c r="X39" s="78">
        <f>IFERROR(_xlfn.XLOOKUP(Divisions!C39,'Project Managers'!C:C,'Project Managers'!AA:AA),0)</f>
        <v>9221.7099999999627</v>
      </c>
      <c r="Y39" s="78">
        <f>IFERROR(_xlfn.XLOOKUP(Divisions!C39,'Project Managers'!C:C,'Project Managers'!AB:AB),0)</f>
        <v>7697.5879437590211</v>
      </c>
      <c r="Z39" s="78">
        <f>IFERROR(_xlfn.XLOOKUP(Divisions!C39,'Project Managers'!C:C,'Project Managers'!AC:AC),0)</f>
        <v>1524.1220562409417</v>
      </c>
      <c r="AA39" s="79">
        <f>IFERROR(_xlfn.XLOOKUP(Divisions!C39,'Project Managers'!C:C,'Project Managers'!AD:AD),0)</f>
        <v>0.16527542681790555</v>
      </c>
      <c r="AB39" s="79">
        <f>IFERROR(_xlfn.XLOOKUP(Divisions!C39,'Project Managers'!C:C,'Project Managers'!AE:AE),0)</f>
        <v>0</v>
      </c>
      <c r="AC39" s="78">
        <f>IFERROR(_xlfn.XLOOKUP(Divisions!C39,'Project Managers'!C:C,'Project Managers'!AF:AF),0)</f>
        <v>0</v>
      </c>
      <c r="AD39" s="78">
        <f>IFERROR(_xlfn.XLOOKUP(Divisions!C39,'Project Managers'!C:C,'Project Managers'!AG:AG),0)</f>
        <v>0</v>
      </c>
      <c r="AE39" s="78">
        <f>IFERROR(_xlfn.XLOOKUP(Divisions!C39,'Project Managers'!C:C,'Project Managers'!AH:AH),0)</f>
        <v>0</v>
      </c>
      <c r="AF39" s="79">
        <f>IFERROR(_xlfn.XLOOKUP(Divisions!C39,'Project Managers'!C:C,'Project Managers'!AI:AI),0)</f>
        <v>0</v>
      </c>
      <c r="AG39" s="79">
        <f>IFERROR(_xlfn.XLOOKUP(Divisions!C39,'Project Managers'!C:C,'Project Managers'!AJ:AJ),0)</f>
        <v>0</v>
      </c>
      <c r="AH39" s="78">
        <f>IFERROR(_xlfn.XLOOKUP(Divisions!C39,'Project Managers'!C:C,'Project Managers'!AK:AK),0)</f>
        <v>0</v>
      </c>
      <c r="AI39" s="78">
        <f>IFERROR(_xlfn.XLOOKUP(Divisions!C39,'Project Managers'!C:C,'Project Managers'!AL:AL),0)</f>
        <v>0</v>
      </c>
      <c r="AJ39" s="78">
        <f>IFERROR(_xlfn.XLOOKUP(Divisions!C39,'Project Managers'!C:C,'Project Managers'!AM:AM),0)</f>
        <v>0</v>
      </c>
      <c r="AK39" s="79">
        <f>IFERROR(_xlfn.XLOOKUP(Divisions!C39,'Project Managers'!C:C,'Project Managers'!AN:AN),0)</f>
        <v>0</v>
      </c>
      <c r="AL39" s="81"/>
      <c r="AM39" s="81"/>
      <c r="AN39" s="81"/>
      <c r="AO39" s="82">
        <f>IFERROR(_xlfn.XLOOKUP(Divisions!C39,'Project Managers'!C:C,'Project Managers'!AR:AR),0)</f>
        <v>0</v>
      </c>
    </row>
    <row r="40" spans="2:41" ht="15" customHeight="1" x14ac:dyDescent="0.2">
      <c r="B40" s="27" t="s">
        <v>139</v>
      </c>
      <c r="C40" s="77" t="s">
        <v>115</v>
      </c>
      <c r="D40" s="27" t="s">
        <v>116</v>
      </c>
      <c r="E40" s="78">
        <v>161110</v>
      </c>
      <c r="F40" s="78">
        <f>IFERROR(Divisions!E40*(1-Divisions!H40),0)</f>
        <v>128887.93104726197</v>
      </c>
      <c r="G40" s="78">
        <f>IFERROR(Divisions!E40-Divisions!F40,0)</f>
        <v>32222.068952738031</v>
      </c>
      <c r="H40" s="79" cm="1">
        <f t="array" ref="H40">IF(ISBLANK(Divisions!AL40),Divisions!R40,Divisions!AL40)</f>
        <v>0.20000042798546358</v>
      </c>
      <c r="I40" s="78">
        <v>102807.23</v>
      </c>
      <c r="J40" s="78">
        <v>82245.740000000005</v>
      </c>
      <c r="K40" s="78">
        <f>IFERROR(Divisions!I40-Divisions!J40,0)</f>
        <v>20561.489999999991</v>
      </c>
      <c r="L40" s="79">
        <f>IFERROR(Divisions!K40/Divisions!I40,0)</f>
        <v>0.20000042798546358</v>
      </c>
      <c r="M40" s="78">
        <v>155528</v>
      </c>
      <c r="N40" s="78">
        <f>IFERROR(IF(Divisions!M40-Divisions!I40&gt;0,Divisions!M40-Divisions!I40,0),0)</f>
        <v>52720.770000000004</v>
      </c>
      <c r="O40" s="78">
        <f>IFERROR(IF(Divisions!M40-Divisions!I40&lt;0,Divisions!M40-Divisions!I40,0),0)</f>
        <v>0</v>
      </c>
      <c r="P40" s="78">
        <f>IFERROR(Divisions!E40-Divisions!I40,0)</f>
        <v>58302.770000000004</v>
      </c>
      <c r="Q40" s="79">
        <f>IFERROR(Divisions!I40/Divisions!E40,0)</f>
        <v>0.63811824219477375</v>
      </c>
      <c r="R40" s="80">
        <f>IFERROR(_xlfn.XLOOKUP(Divisions!C40,'Project Managers'!C:C,'Project Managers'!R:R),0)</f>
        <v>0.20000042798546358</v>
      </c>
      <c r="S40" s="79">
        <f>IFERROR(_xlfn.XLOOKUP(Divisions!C40,'Project Managers'!C:C,'Project Managers'!T:T),0)</f>
        <v>0.22</v>
      </c>
      <c r="T40" s="78">
        <f>IFERROR(_xlfn.XLOOKUP(Divisions!C40,'Project Managers'!C:C,'Project Managers'!U:U),0)</f>
        <v>0</v>
      </c>
      <c r="U40" s="78">
        <f>IFERROR(_xlfn.XLOOKUP(Divisions!C40,'Project Managers'!C:C,'Project Managers'!W:W),0)</f>
        <v>2636.0264102564106</v>
      </c>
      <c r="V40" s="79">
        <f>IFERROR(_xlfn.XLOOKUP(Divisions!C40,'Project Managers'!C:C,'Project Managers'!X:X),0)</f>
        <v>1</v>
      </c>
      <c r="W40" s="80">
        <f>IFERROR(_xlfn.XLOOKUP(Divisions!C40,'Project Managers'!C:C,'Project Managers'!Z:Z),0)</f>
        <v>0.8</v>
      </c>
      <c r="X40" s="78">
        <f>IFERROR(_xlfn.XLOOKUP(Divisions!C40,'Project Managers'!C:C,'Project Managers'!AA:AA),0)</f>
        <v>26080.770000000004</v>
      </c>
      <c r="Y40" s="78">
        <f>IFERROR(_xlfn.XLOOKUP(Divisions!C40,'Project Managers'!C:C,'Project Managers'!AB:AB),0)</f>
        <v>20864.604837809566</v>
      </c>
      <c r="Z40" s="78">
        <f>IFERROR(_xlfn.XLOOKUP(Divisions!C40,'Project Managers'!C:C,'Project Managers'!AC:AC),0)</f>
        <v>5216.1651621904384</v>
      </c>
      <c r="AA40" s="79">
        <f>IFERROR(_xlfn.XLOOKUP(Divisions!C40,'Project Managers'!C:C,'Project Managers'!AD:AD),0)</f>
        <v>0.20000042798546352</v>
      </c>
      <c r="AB40" s="79">
        <f>IFERROR(_xlfn.XLOOKUP(Divisions!C40,'Project Managers'!C:C,'Project Managers'!AE:AE),0)</f>
        <v>1</v>
      </c>
      <c r="AC40" s="78">
        <f>IFERROR(_xlfn.XLOOKUP(Divisions!C40,'Project Managers'!C:C,'Project Managers'!AF:AF),0)</f>
        <v>32222</v>
      </c>
      <c r="AD40" s="78">
        <f>IFERROR(_xlfn.XLOOKUP(Divisions!C40,'Project Managers'!C:C,'Project Managers'!AG:AG),0)</f>
        <v>25777.586209452391</v>
      </c>
      <c r="AE40" s="78">
        <f>IFERROR(_xlfn.XLOOKUP(Divisions!C40,'Project Managers'!C:C,'Project Managers'!AH:AH),0)</f>
        <v>6444.4137905476091</v>
      </c>
      <c r="AF40" s="79">
        <f>IFERROR(_xlfn.XLOOKUP(Divisions!C40,'Project Managers'!C:C,'Project Managers'!AI:AI),0)</f>
        <v>0.20000042798546364</v>
      </c>
      <c r="AG40" s="79">
        <f>IFERROR(_xlfn.XLOOKUP(Divisions!C40,'Project Managers'!C:C,'Project Managers'!AJ:AJ),0)</f>
        <v>0</v>
      </c>
      <c r="AH40" s="78">
        <f>IFERROR(_xlfn.XLOOKUP(Divisions!C40,'Project Managers'!C:C,'Project Managers'!AK:AK),0)</f>
        <v>0</v>
      </c>
      <c r="AI40" s="78">
        <f>IFERROR(_xlfn.XLOOKUP(Divisions!C40,'Project Managers'!C:C,'Project Managers'!AL:AL),0)</f>
        <v>0</v>
      </c>
      <c r="AJ40" s="78">
        <f>IFERROR(_xlfn.XLOOKUP(Divisions!C40,'Project Managers'!C:C,'Project Managers'!AM:AM),0)</f>
        <v>0</v>
      </c>
      <c r="AK40" s="79">
        <f>IFERROR(_xlfn.XLOOKUP(Divisions!C40,'Project Managers'!C:C,'Project Managers'!AN:AN),0)</f>
        <v>0</v>
      </c>
      <c r="AL40" s="81"/>
      <c r="AM40" s="81"/>
      <c r="AN40" s="81"/>
      <c r="AO40" s="82">
        <f>IFERROR(_xlfn.XLOOKUP(Divisions!C40,'Project Managers'!C:C,'Project Managers'!AR:AR),0)</f>
        <v>0</v>
      </c>
    </row>
    <row r="41" spans="2:41" ht="15" customHeight="1" x14ac:dyDescent="0.2">
      <c r="B41" s="27" t="s">
        <v>139</v>
      </c>
      <c r="C41" s="77" t="s">
        <v>85</v>
      </c>
      <c r="D41" s="27" t="s">
        <v>86</v>
      </c>
      <c r="E41" s="78">
        <v>585596.97</v>
      </c>
      <c r="F41" s="78">
        <f>IFERROR(Divisions!E41*(1-Divisions!H41),0)</f>
        <v>485972.57480531622</v>
      </c>
      <c r="G41" s="78">
        <f>IFERROR(Divisions!E41-Divisions!F41,0)</f>
        <v>99624.395194683748</v>
      </c>
      <c r="H41" s="79" cm="1">
        <f t="array" ref="H41">IF(ISBLANK(Divisions!AL41),Divisions!R41,Divisions!AL41)</f>
        <v>0.1701245059288537</v>
      </c>
      <c r="I41" s="78">
        <v>177100</v>
      </c>
      <c r="J41" s="78">
        <v>146970.95000000001</v>
      </c>
      <c r="K41" s="78">
        <f>IFERROR(Divisions!I41-Divisions!J41,0)</f>
        <v>30129.049999999988</v>
      </c>
      <c r="L41" s="79">
        <f>IFERROR(Divisions!K41/Divisions!I41,0)</f>
        <v>0.1701245059288537</v>
      </c>
      <c r="M41" s="78">
        <v>398194.97</v>
      </c>
      <c r="N41" s="78">
        <f>IFERROR(IF(Divisions!M41-Divisions!I41&gt;0,Divisions!M41-Divisions!I41,0),0)</f>
        <v>221094.96999999997</v>
      </c>
      <c r="O41" s="78">
        <f>IFERROR(IF(Divisions!M41-Divisions!I41&lt;0,Divisions!M41-Divisions!I41,0),0)</f>
        <v>0</v>
      </c>
      <c r="P41" s="78">
        <f>IFERROR(Divisions!E41-Divisions!I41,0)</f>
        <v>408496.97</v>
      </c>
      <c r="Q41" s="79">
        <f>IFERROR(Divisions!I41/Divisions!E41,0)</f>
        <v>0.30242642819685356</v>
      </c>
      <c r="R41" s="80">
        <f>IFERROR(_xlfn.XLOOKUP(Divisions!C41,'Project Managers'!C:C,'Project Managers'!R:R),0)</f>
        <v>0.1701245059288537</v>
      </c>
      <c r="S41" s="79">
        <f>IFERROR(_xlfn.XLOOKUP(Divisions!C41,'Project Managers'!C:C,'Project Managers'!T:T),0)</f>
        <v>0.17</v>
      </c>
      <c r="T41" s="78">
        <f>IFERROR(_xlfn.XLOOKUP(Divisions!C41,'Project Managers'!C:C,'Project Managers'!U:U),0)</f>
        <v>0</v>
      </c>
      <c r="U41" s="78">
        <f>IFERROR(_xlfn.XLOOKUP(Divisions!C41,'Project Managers'!C:C,'Project Managers'!W:W),0)</f>
        <v>-26.56626506021712</v>
      </c>
      <c r="V41" s="79">
        <f>IFERROR(_xlfn.XLOOKUP(Divisions!C41,'Project Managers'!C:C,'Project Managers'!X:X),0)</f>
        <v>1</v>
      </c>
      <c r="W41" s="80">
        <f>IFERROR(_xlfn.XLOOKUP(Divisions!C41,'Project Managers'!C:C,'Project Managers'!Z:Z),0)</f>
        <v>0.9</v>
      </c>
      <c r="X41" s="78">
        <f>IFERROR(_xlfn.XLOOKUP(Divisions!C41,'Project Managers'!C:C,'Project Managers'!AA:AA),0)</f>
        <v>349937.27300000004</v>
      </c>
      <c r="Y41" s="78">
        <f>IFERROR(_xlfn.XLOOKUP(Divisions!C41,'Project Managers'!C:C,'Project Managers'!AB:AB),0)</f>
        <v>290404.36732478463</v>
      </c>
      <c r="Z41" s="78">
        <f>IFERROR(_xlfn.XLOOKUP(Divisions!C41,'Project Managers'!C:C,'Project Managers'!AC:AC),0)</f>
        <v>59532.905675215414</v>
      </c>
      <c r="AA41" s="79">
        <f>IFERROR(_xlfn.XLOOKUP(Divisions!C41,'Project Managers'!C:C,'Project Managers'!AD:AD),0)</f>
        <v>0.17012450592885373</v>
      </c>
      <c r="AB41" s="79">
        <f>IFERROR(_xlfn.XLOOKUP(Divisions!C41,'Project Managers'!C:C,'Project Managers'!AE:AE),0)</f>
        <v>1</v>
      </c>
      <c r="AC41" s="78">
        <f>IFERROR(_xlfn.XLOOKUP(Divisions!C41,'Project Managers'!C:C,'Project Managers'!AF:AF),0)</f>
        <v>58559.696999999927</v>
      </c>
      <c r="AD41" s="78">
        <f>IFERROR(_xlfn.XLOOKUP(Divisions!C41,'Project Managers'!C:C,'Project Managers'!AG:AG),0)</f>
        <v>48597.257480531567</v>
      </c>
      <c r="AE41" s="78">
        <f>IFERROR(_xlfn.XLOOKUP(Divisions!C41,'Project Managers'!C:C,'Project Managers'!AH:AH),0)</f>
        <v>9962.4395194683602</v>
      </c>
      <c r="AF41" s="79">
        <f>IFERROR(_xlfn.XLOOKUP(Divisions!C41,'Project Managers'!C:C,'Project Managers'!AI:AI),0)</f>
        <v>0.17012450592885364</v>
      </c>
      <c r="AG41" s="79">
        <f>IFERROR(_xlfn.XLOOKUP(Divisions!C41,'Project Managers'!C:C,'Project Managers'!AJ:AJ),0)</f>
        <v>0</v>
      </c>
      <c r="AH41" s="78">
        <f>IFERROR(_xlfn.XLOOKUP(Divisions!C41,'Project Managers'!C:C,'Project Managers'!AK:AK),0)</f>
        <v>0</v>
      </c>
      <c r="AI41" s="78">
        <f>IFERROR(_xlfn.XLOOKUP(Divisions!C41,'Project Managers'!C:C,'Project Managers'!AL:AL),0)</f>
        <v>0</v>
      </c>
      <c r="AJ41" s="78">
        <f>IFERROR(_xlfn.XLOOKUP(Divisions!C41,'Project Managers'!C:C,'Project Managers'!AM:AM),0)</f>
        <v>0</v>
      </c>
      <c r="AK41" s="79">
        <f>IFERROR(_xlfn.XLOOKUP(Divisions!C41,'Project Managers'!C:C,'Project Managers'!AN:AN),0)</f>
        <v>0</v>
      </c>
      <c r="AL41" s="81"/>
      <c r="AM41" s="81"/>
      <c r="AN41" s="81"/>
      <c r="AO41" s="82">
        <f>IFERROR(_xlfn.XLOOKUP(Divisions!C41,'Project Managers'!C:C,'Project Managers'!AR:AR),0)</f>
        <v>0</v>
      </c>
    </row>
    <row r="42" spans="2:41" ht="15" customHeight="1" x14ac:dyDescent="0.2">
      <c r="B42" s="27" t="s">
        <v>139</v>
      </c>
      <c r="C42" s="77" t="s">
        <v>117</v>
      </c>
      <c r="D42" s="27" t="s">
        <v>118</v>
      </c>
      <c r="E42" s="78">
        <v>70972.070000000007</v>
      </c>
      <c r="F42" s="78">
        <f>IFERROR(Divisions!E42*(1-Divisions!H42),0)</f>
        <v>71113.38</v>
      </c>
      <c r="G42" s="78">
        <f>IFERROR(Divisions!E42-Divisions!F42,0)</f>
        <v>-141.30999999999767</v>
      </c>
      <c r="H42" s="79" cm="1">
        <f t="array" ref="H42">IF(ISBLANK(Divisions!AL42),Divisions!R42,Divisions!AL42)</f>
        <v>-1.9910649358261309E-3</v>
      </c>
      <c r="I42" s="78">
        <v>70972.070000000007</v>
      </c>
      <c r="J42" s="78">
        <v>71113.38</v>
      </c>
      <c r="K42" s="78">
        <f>IFERROR(Divisions!I42-Divisions!J42,0)</f>
        <v>-141.30999999999767</v>
      </c>
      <c r="L42" s="79">
        <f>IFERROR(Divisions!K42/Divisions!I42,0)</f>
        <v>-1.9910649358261309E-3</v>
      </c>
      <c r="M42" s="78">
        <v>70972.070000000007</v>
      </c>
      <c r="N42" s="78">
        <f>IFERROR(IF(Divisions!M42-Divisions!I42&gt;0,Divisions!M42-Divisions!I42,0),0)</f>
        <v>0</v>
      </c>
      <c r="O42" s="78">
        <f>IFERROR(IF(Divisions!M42-Divisions!I42&lt;0,Divisions!M42-Divisions!I42,0),0)</f>
        <v>0</v>
      </c>
      <c r="P42" s="78">
        <f>IFERROR(Divisions!E42-Divisions!I42,0)</f>
        <v>0</v>
      </c>
      <c r="Q42" s="79">
        <f>IFERROR(Divisions!I42/Divisions!E42,0)</f>
        <v>1</v>
      </c>
      <c r="R42" s="80">
        <f>IFERROR(_xlfn.XLOOKUP(Divisions!C42,'Project Managers'!C:C,'Project Managers'!R:R),0)</f>
        <v>-1.9910649358261309E-3</v>
      </c>
      <c r="S42" s="79">
        <f>IFERROR(_xlfn.XLOOKUP(Divisions!C42,'Project Managers'!C:C,'Project Managers'!T:T),0)</f>
        <v>0</v>
      </c>
      <c r="T42" s="78">
        <f>IFERROR(_xlfn.XLOOKUP(Divisions!C42,'Project Managers'!C:C,'Project Managers'!U:U),0)</f>
        <v>0</v>
      </c>
      <c r="U42" s="78">
        <f>IFERROR(_xlfn.XLOOKUP(Divisions!C42,'Project Managers'!C:C,'Project Managers'!W:W),0)</f>
        <v>141.30999999999767</v>
      </c>
      <c r="V42" s="79">
        <f>IFERROR(_xlfn.XLOOKUP(Divisions!C42,'Project Managers'!C:C,'Project Managers'!X:X),0)</f>
        <v>1</v>
      </c>
      <c r="W42" s="80">
        <f>IFERROR(_xlfn.XLOOKUP(Divisions!C42,'Project Managers'!C:C,'Project Managers'!Z:Z),0)</f>
        <v>1</v>
      </c>
      <c r="X42" s="78">
        <f>IFERROR(_xlfn.XLOOKUP(Divisions!C42,'Project Managers'!C:C,'Project Managers'!AA:AA),0)</f>
        <v>0</v>
      </c>
      <c r="Y42" s="78">
        <f>IFERROR(_xlfn.XLOOKUP(Divisions!C42,'Project Managers'!C:C,'Project Managers'!AB:AB),0)</f>
        <v>0</v>
      </c>
      <c r="Z42" s="78">
        <f>IFERROR(_xlfn.XLOOKUP(Divisions!C42,'Project Managers'!C:C,'Project Managers'!AC:AC),0)</f>
        <v>0</v>
      </c>
      <c r="AA42" s="79">
        <f>IFERROR(_xlfn.XLOOKUP(Divisions!C42,'Project Managers'!C:C,'Project Managers'!AD:AD),0)</f>
        <v>0</v>
      </c>
      <c r="AB42" s="79">
        <f>IFERROR(_xlfn.XLOOKUP(Divisions!C42,'Project Managers'!C:C,'Project Managers'!AE:AE),0)</f>
        <v>0</v>
      </c>
      <c r="AC42" s="78">
        <f>IFERROR(_xlfn.XLOOKUP(Divisions!C42,'Project Managers'!C:C,'Project Managers'!AF:AF),0)</f>
        <v>0</v>
      </c>
      <c r="AD42" s="78">
        <f>IFERROR(_xlfn.XLOOKUP(Divisions!C42,'Project Managers'!C:C,'Project Managers'!AG:AG),0)</f>
        <v>0</v>
      </c>
      <c r="AE42" s="78">
        <f>IFERROR(_xlfn.XLOOKUP(Divisions!C42,'Project Managers'!C:C,'Project Managers'!AH:AH),0)</f>
        <v>0</v>
      </c>
      <c r="AF42" s="79">
        <f>IFERROR(_xlfn.XLOOKUP(Divisions!C42,'Project Managers'!C:C,'Project Managers'!AI:AI),0)</f>
        <v>0</v>
      </c>
      <c r="AG42" s="79">
        <f>IFERROR(_xlfn.XLOOKUP(Divisions!C42,'Project Managers'!C:C,'Project Managers'!AJ:AJ),0)</f>
        <v>0</v>
      </c>
      <c r="AH42" s="78">
        <f>IFERROR(_xlfn.XLOOKUP(Divisions!C42,'Project Managers'!C:C,'Project Managers'!AK:AK),0)</f>
        <v>0</v>
      </c>
      <c r="AI42" s="78">
        <f>IFERROR(_xlfn.XLOOKUP(Divisions!C42,'Project Managers'!C:C,'Project Managers'!AL:AL),0)</f>
        <v>0</v>
      </c>
      <c r="AJ42" s="78">
        <f>IFERROR(_xlfn.XLOOKUP(Divisions!C42,'Project Managers'!C:C,'Project Managers'!AM:AM),0)</f>
        <v>0</v>
      </c>
      <c r="AK42" s="79">
        <f>IFERROR(_xlfn.XLOOKUP(Divisions!C42,'Project Managers'!C:C,'Project Managers'!AN:AN),0)</f>
        <v>0</v>
      </c>
      <c r="AL42" s="81"/>
      <c r="AM42" s="81"/>
      <c r="AN42" s="81"/>
      <c r="AO42" s="82">
        <f>IFERROR(_xlfn.XLOOKUP(Divisions!C42,'Project Managers'!C:C,'Project Managers'!AR:AR),0)</f>
        <v>0</v>
      </c>
    </row>
    <row r="43" spans="2:41" ht="15" customHeight="1" x14ac:dyDescent="0.2">
      <c r="B43" s="27" t="s">
        <v>139</v>
      </c>
      <c r="C43" s="77" t="s">
        <v>61</v>
      </c>
      <c r="D43" s="27" t="s">
        <v>62</v>
      </c>
      <c r="E43" s="78">
        <v>9526861</v>
      </c>
      <c r="F43" s="78">
        <f>IFERROR(Divisions!E43*(1-Divisions!H43),0)</f>
        <v>7906107.9183372529</v>
      </c>
      <c r="G43" s="78">
        <f>IFERROR(Divisions!E43-Divisions!F43,0)</f>
        <v>1620753.0816627471</v>
      </c>
      <c r="H43" s="79" cm="1">
        <f t="array" ref="H43">IF(ISBLANK(Divisions!AL43),Divisions!R43,Divisions!AL43)</f>
        <v>0.17012456481339944</v>
      </c>
      <c r="I43" s="78">
        <v>233598.07</v>
      </c>
      <c r="J43" s="78">
        <v>193857.3</v>
      </c>
      <c r="K43" s="78">
        <f>IFERROR(Divisions!I43-Divisions!J43,0)</f>
        <v>39740.770000000019</v>
      </c>
      <c r="L43" s="79">
        <f>IFERROR(Divisions!K43/Divisions!I43,0)</f>
        <v>0.17012456481339944</v>
      </c>
      <c r="M43" s="78">
        <v>268250</v>
      </c>
      <c r="N43" s="78">
        <f>IFERROR(IF(Divisions!M43-Divisions!I43&gt;0,Divisions!M43-Divisions!I43,0),0)</f>
        <v>34651.929999999993</v>
      </c>
      <c r="O43" s="78">
        <f>IFERROR(IF(Divisions!M43-Divisions!I43&lt;0,Divisions!M43-Divisions!I43,0),0)</f>
        <v>0</v>
      </c>
      <c r="P43" s="78">
        <f>IFERROR(Divisions!E43-Divisions!I43,0)</f>
        <v>9293262.9299999997</v>
      </c>
      <c r="Q43" s="79">
        <f>IFERROR(Divisions!I43/Divisions!E43,0)</f>
        <v>2.4519941038291627E-2</v>
      </c>
      <c r="R43" s="80">
        <f>IFERROR(_xlfn.XLOOKUP(Divisions!C43,'Project Managers'!C:C,'Project Managers'!R:R),0)</f>
        <v>0.17012456481339944</v>
      </c>
      <c r="S43" s="79">
        <f>IFERROR(_xlfn.XLOOKUP(Divisions!C43,'Project Managers'!C:C,'Project Managers'!T:T),0)</f>
        <v>0.17</v>
      </c>
      <c r="T43" s="78">
        <f>IFERROR(_xlfn.XLOOKUP(Divisions!C43,'Project Managers'!C:C,'Project Managers'!U:U),0)</f>
        <v>0</v>
      </c>
      <c r="U43" s="78">
        <f>IFERROR(_xlfn.XLOOKUP(Divisions!C43,'Project Managers'!C:C,'Project Managers'!W:W),0)</f>
        <v>-35.057951807248173</v>
      </c>
      <c r="V43" s="79">
        <f>IFERROR(_xlfn.XLOOKUP(Divisions!C43,'Project Managers'!C:C,'Project Managers'!X:X),0)</f>
        <v>1</v>
      </c>
      <c r="W43" s="80">
        <f>IFERROR(_xlfn.XLOOKUP(Divisions!C43,'Project Managers'!C:C,'Project Managers'!Z:Z),0)</f>
        <v>0.05</v>
      </c>
      <c r="X43" s="78">
        <f>IFERROR(_xlfn.XLOOKUP(Divisions!C43,'Project Managers'!C:C,'Project Managers'!AA:AA),0)</f>
        <v>242744.98000000004</v>
      </c>
      <c r="Y43" s="78">
        <f>IFERROR(_xlfn.XLOOKUP(Divisions!C43,'Project Managers'!C:C,'Project Managers'!AB:AB),0)</f>
        <v>201448.09591686269</v>
      </c>
      <c r="Z43" s="78">
        <f>IFERROR(_xlfn.XLOOKUP(Divisions!C43,'Project Managers'!C:C,'Project Managers'!AC:AC),0)</f>
        <v>41296.884083137353</v>
      </c>
      <c r="AA43" s="79">
        <f>IFERROR(_xlfn.XLOOKUP(Divisions!C43,'Project Managers'!C:C,'Project Managers'!AD:AD),0)</f>
        <v>0.17012456481339941</v>
      </c>
      <c r="AB43" s="79">
        <f>IFERROR(_xlfn.XLOOKUP(Divisions!C43,'Project Managers'!C:C,'Project Managers'!AE:AE),0)</f>
        <v>1</v>
      </c>
      <c r="AC43" s="78">
        <f>IFERROR(_xlfn.XLOOKUP(Divisions!C43,'Project Managers'!C:C,'Project Managers'!AF:AF),0)</f>
        <v>9050517.9499999993</v>
      </c>
      <c r="AD43" s="78">
        <f>IFERROR(_xlfn.XLOOKUP(Divisions!C43,'Project Managers'!C:C,'Project Managers'!AG:AG),0)</f>
        <v>7510802.5224203896</v>
      </c>
      <c r="AE43" s="78">
        <f>IFERROR(_xlfn.XLOOKUP(Divisions!C43,'Project Managers'!C:C,'Project Managers'!AH:AH),0)</f>
        <v>1539715.4275796097</v>
      </c>
      <c r="AF43" s="79">
        <f>IFERROR(_xlfn.XLOOKUP(Divisions!C43,'Project Managers'!C:C,'Project Managers'!AI:AI),0)</f>
        <v>0.17012456481339941</v>
      </c>
      <c r="AG43" s="79">
        <f>IFERROR(_xlfn.XLOOKUP(Divisions!C43,'Project Managers'!C:C,'Project Managers'!AJ:AJ),0)</f>
        <v>1</v>
      </c>
      <c r="AH43" s="78">
        <f>IFERROR(_xlfn.XLOOKUP(Divisions!C43,'Project Managers'!C:C,'Project Managers'!AK:AK),0)</f>
        <v>0</v>
      </c>
      <c r="AI43" s="78">
        <f>IFERROR(_xlfn.XLOOKUP(Divisions!C43,'Project Managers'!C:C,'Project Managers'!AL:AL),0)</f>
        <v>0</v>
      </c>
      <c r="AJ43" s="78">
        <f>IFERROR(_xlfn.XLOOKUP(Divisions!C43,'Project Managers'!C:C,'Project Managers'!AM:AM),0)</f>
        <v>0</v>
      </c>
      <c r="AK43" s="79">
        <f>IFERROR(_xlfn.XLOOKUP(Divisions!C43,'Project Managers'!C:C,'Project Managers'!AN:AN),0)</f>
        <v>0</v>
      </c>
      <c r="AL43" s="81"/>
      <c r="AM43" s="81"/>
      <c r="AN43" s="81"/>
      <c r="AO43" s="82">
        <f>IFERROR(_xlfn.XLOOKUP(Divisions!C43,'Project Managers'!C:C,'Project Managers'!AR:AR),0)</f>
        <v>0</v>
      </c>
    </row>
    <row r="44" spans="2:41" ht="15" customHeight="1" x14ac:dyDescent="0.2">
      <c r="B44" s="27" t="s">
        <v>139</v>
      </c>
      <c r="C44" s="77" t="s">
        <v>119</v>
      </c>
      <c r="D44" s="27" t="s">
        <v>120</v>
      </c>
      <c r="E44" s="78">
        <v>22500</v>
      </c>
      <c r="F44" s="78">
        <f>IFERROR(Divisions!E44*(1-Divisions!H44),0)</f>
        <v>17999.956943567366</v>
      </c>
      <c r="G44" s="78">
        <f>IFERROR(Divisions!E44-Divisions!F44,0)</f>
        <v>4500.0430564326343</v>
      </c>
      <c r="H44" s="79" cm="1">
        <f t="array" ref="H44">IF(ISBLANK(Divisions!AL44),Divisions!R44,Divisions!AL44)</f>
        <v>0.20000191361922809</v>
      </c>
      <c r="I44" s="78">
        <v>9406.26</v>
      </c>
      <c r="J44" s="78">
        <v>7524.99</v>
      </c>
      <c r="K44" s="78">
        <f>IFERROR(Divisions!I44-Divisions!J44,0)</f>
        <v>1881.2700000000004</v>
      </c>
      <c r="L44" s="79">
        <f>IFERROR(Divisions!K44/Divisions!I44,0)</f>
        <v>0.20000191361922809</v>
      </c>
      <c r="M44" s="78">
        <v>22500</v>
      </c>
      <c r="N44" s="78">
        <f>IFERROR(IF(Divisions!M44-Divisions!I44&gt;0,Divisions!M44-Divisions!I44,0),0)</f>
        <v>13093.74</v>
      </c>
      <c r="O44" s="78">
        <f>IFERROR(IF(Divisions!M44-Divisions!I44&lt;0,Divisions!M44-Divisions!I44,0),0)</f>
        <v>0</v>
      </c>
      <c r="P44" s="78">
        <f>IFERROR(Divisions!E44-Divisions!I44,0)</f>
        <v>13093.74</v>
      </c>
      <c r="Q44" s="79">
        <f>IFERROR(Divisions!I44/Divisions!E44,0)</f>
        <v>0.41805599999999998</v>
      </c>
      <c r="R44" s="80">
        <f>IFERROR(_xlfn.XLOOKUP(Divisions!C44,'Project Managers'!C:C,'Project Managers'!R:R),0)</f>
        <v>0.20000191361922809</v>
      </c>
      <c r="S44" s="79">
        <f>IFERROR(_xlfn.XLOOKUP(Divisions!C44,'Project Managers'!C:C,'Project Managers'!T:T),0)</f>
        <v>0.3</v>
      </c>
      <c r="T44" s="78">
        <f>IFERROR(_xlfn.XLOOKUP(Divisions!C44,'Project Managers'!C:C,'Project Managers'!U:U),0)</f>
        <v>0</v>
      </c>
      <c r="U44" s="78">
        <f>IFERROR(_xlfn.XLOOKUP(Divisions!C44,'Project Managers'!C:C,'Project Managers'!W:W),0)</f>
        <v>1343.7257142857143</v>
      </c>
      <c r="V44" s="79">
        <f>IFERROR(_xlfn.XLOOKUP(Divisions!C44,'Project Managers'!C:C,'Project Managers'!X:X),0)</f>
        <v>1</v>
      </c>
      <c r="W44" s="80">
        <f>IFERROR(_xlfn.XLOOKUP(Divisions!C44,'Project Managers'!C:C,'Project Managers'!Z:Z),0)</f>
        <v>0.5</v>
      </c>
      <c r="X44" s="78">
        <f>IFERROR(_xlfn.XLOOKUP(Divisions!C44,'Project Managers'!C:C,'Project Managers'!AA:AA),0)</f>
        <v>1843.7399999999998</v>
      </c>
      <c r="Y44" s="78">
        <f>IFERROR(_xlfn.XLOOKUP(Divisions!C44,'Project Managers'!C:C,'Project Managers'!AB:AB),0)</f>
        <v>1474.9884717836842</v>
      </c>
      <c r="Z44" s="78">
        <f>IFERROR(_xlfn.XLOOKUP(Divisions!C44,'Project Managers'!C:C,'Project Managers'!AC:AC),0)</f>
        <v>368.75152821631559</v>
      </c>
      <c r="AA44" s="79">
        <f>IFERROR(_xlfn.XLOOKUP(Divisions!C44,'Project Managers'!C:C,'Project Managers'!AD:AD),0)</f>
        <v>0.20000191361922812</v>
      </c>
      <c r="AB44" s="79">
        <f>IFERROR(_xlfn.XLOOKUP(Divisions!C44,'Project Managers'!C:C,'Project Managers'!AE:AE),0)</f>
        <v>1</v>
      </c>
      <c r="AC44" s="78">
        <f>IFERROR(_xlfn.XLOOKUP(Divisions!C44,'Project Managers'!C:C,'Project Managers'!AF:AF),0)</f>
        <v>11250</v>
      </c>
      <c r="AD44" s="78">
        <f>IFERROR(_xlfn.XLOOKUP(Divisions!C44,'Project Managers'!C:C,'Project Managers'!AG:AG),0)</f>
        <v>8999.9784717836847</v>
      </c>
      <c r="AE44" s="78">
        <f>IFERROR(_xlfn.XLOOKUP(Divisions!C44,'Project Managers'!C:C,'Project Managers'!AH:AH),0)</f>
        <v>2250.0215282163153</v>
      </c>
      <c r="AF44" s="79">
        <f>IFERROR(_xlfn.XLOOKUP(Divisions!C44,'Project Managers'!C:C,'Project Managers'!AI:AI),0)</f>
        <v>0.20000191361922803</v>
      </c>
      <c r="AG44" s="79">
        <f>IFERROR(_xlfn.XLOOKUP(Divisions!C44,'Project Managers'!C:C,'Project Managers'!AJ:AJ),0)</f>
        <v>0</v>
      </c>
      <c r="AH44" s="78">
        <f>IFERROR(_xlfn.XLOOKUP(Divisions!C44,'Project Managers'!C:C,'Project Managers'!AK:AK),0)</f>
        <v>0</v>
      </c>
      <c r="AI44" s="78">
        <f>IFERROR(_xlfn.XLOOKUP(Divisions!C44,'Project Managers'!C:C,'Project Managers'!AL:AL),0)</f>
        <v>0</v>
      </c>
      <c r="AJ44" s="78">
        <f>IFERROR(_xlfn.XLOOKUP(Divisions!C44,'Project Managers'!C:C,'Project Managers'!AM:AM),0)</f>
        <v>0</v>
      </c>
      <c r="AK44" s="79">
        <f>IFERROR(_xlfn.XLOOKUP(Divisions!C44,'Project Managers'!C:C,'Project Managers'!AN:AN),0)</f>
        <v>0</v>
      </c>
      <c r="AL44" s="81"/>
      <c r="AM44" s="81"/>
      <c r="AN44" s="81"/>
      <c r="AO44" s="82">
        <f>IFERROR(_xlfn.XLOOKUP(Divisions!C44,'Project Managers'!C:C,'Project Managers'!AR:AR),0)</f>
        <v>0</v>
      </c>
    </row>
    <row r="45" spans="2:41" ht="15" customHeight="1" x14ac:dyDescent="0.2">
      <c r="B45" s="27" t="s">
        <v>139</v>
      </c>
      <c r="C45" s="77" t="s">
        <v>67</v>
      </c>
      <c r="D45" s="27" t="s">
        <v>68</v>
      </c>
      <c r="E45" s="78">
        <v>8053000</v>
      </c>
      <c r="F45" s="78">
        <f>IFERROR(Divisions!E45*(1-Divisions!H45),0)</f>
        <v>6682987.6517993184</v>
      </c>
      <c r="G45" s="78">
        <f>IFERROR(Divisions!E45-Divisions!F45,0)</f>
        <v>1370012.3482006816</v>
      </c>
      <c r="H45" s="79" cm="1">
        <f t="array" ref="H45">IF(ISBLANK(Divisions!AL45),Divisions!R45,Divisions!AL45)</f>
        <v>0.17012446891850005</v>
      </c>
      <c r="I45" s="78">
        <v>886097.52</v>
      </c>
      <c r="J45" s="78">
        <v>735350.65</v>
      </c>
      <c r="K45" s="78">
        <f>IFERROR(Divisions!I45-Divisions!J45,0)</f>
        <v>150746.87</v>
      </c>
      <c r="L45" s="79">
        <f>IFERROR(Divisions!K45/Divisions!I45,0)</f>
        <v>0.17012446891850005</v>
      </c>
      <c r="M45" s="78">
        <v>1670850</v>
      </c>
      <c r="N45" s="78">
        <f>IFERROR(IF(Divisions!M45-Divisions!I45&gt;0,Divisions!M45-Divisions!I45,0),0)</f>
        <v>784752.48</v>
      </c>
      <c r="O45" s="78">
        <f>IFERROR(IF(Divisions!M45-Divisions!I45&lt;0,Divisions!M45-Divisions!I45,0),0)</f>
        <v>0</v>
      </c>
      <c r="P45" s="78">
        <f>IFERROR(Divisions!E45-Divisions!I45,0)</f>
        <v>7166902.4800000004</v>
      </c>
      <c r="Q45" s="79">
        <f>IFERROR(Divisions!I45/Divisions!E45,0)</f>
        <v>0.11003321991804296</v>
      </c>
      <c r="R45" s="80">
        <f>IFERROR(_xlfn.XLOOKUP(Divisions!C45,'Project Managers'!C:C,'Project Managers'!R:R),0)</f>
        <v>0.17012446891850005</v>
      </c>
      <c r="S45" s="79">
        <f>IFERROR(_xlfn.XLOOKUP(Divisions!C45,'Project Managers'!C:C,'Project Managers'!T:T),0)</f>
        <v>0.2</v>
      </c>
      <c r="T45" s="78">
        <f>IFERROR(_xlfn.XLOOKUP(Divisions!C45,'Project Managers'!C:C,'Project Managers'!U:U),0)</f>
        <v>0</v>
      </c>
      <c r="U45" s="78">
        <f>IFERROR(_xlfn.XLOOKUP(Divisions!C45,'Project Managers'!C:C,'Project Managers'!W:W),0)</f>
        <v>33090.792499999981</v>
      </c>
      <c r="V45" s="79">
        <f>IFERROR(_xlfn.XLOOKUP(Divisions!C45,'Project Managers'!C:C,'Project Managers'!X:X),0)</f>
        <v>1</v>
      </c>
      <c r="W45" s="80">
        <f>IFERROR(_xlfn.XLOOKUP(Divisions!C45,'Project Managers'!C:C,'Project Managers'!Z:Z),0)</f>
        <v>0.25</v>
      </c>
      <c r="X45" s="78">
        <f>IFERROR(_xlfn.XLOOKUP(Divisions!C45,'Project Managers'!C:C,'Project Managers'!AA:AA),0)</f>
        <v>1127152.48</v>
      </c>
      <c r="Y45" s="78">
        <f>IFERROR(_xlfn.XLOOKUP(Divisions!C45,'Project Managers'!C:C,'Project Managers'!AB:AB),0)</f>
        <v>935396.26294982969</v>
      </c>
      <c r="Z45" s="78">
        <f>IFERROR(_xlfn.XLOOKUP(Divisions!C45,'Project Managers'!C:C,'Project Managers'!AC:AC),0)</f>
        <v>191756.21705017029</v>
      </c>
      <c r="AA45" s="79">
        <f>IFERROR(_xlfn.XLOOKUP(Divisions!C45,'Project Managers'!C:C,'Project Managers'!AD:AD),0)</f>
        <v>0.17012446891850008</v>
      </c>
      <c r="AB45" s="79">
        <f>IFERROR(_xlfn.XLOOKUP(Divisions!C45,'Project Managers'!C:C,'Project Managers'!AE:AE),0)</f>
        <v>1</v>
      </c>
      <c r="AC45" s="78">
        <f>IFERROR(_xlfn.XLOOKUP(Divisions!C45,'Project Managers'!C:C,'Project Managers'!AF:AF),0)</f>
        <v>6039750</v>
      </c>
      <c r="AD45" s="78">
        <f>IFERROR(_xlfn.XLOOKUP(Divisions!C45,'Project Managers'!C:C,'Project Managers'!AG:AG),0)</f>
        <v>5012240.738849489</v>
      </c>
      <c r="AE45" s="78">
        <f>IFERROR(_xlfn.XLOOKUP(Divisions!C45,'Project Managers'!C:C,'Project Managers'!AH:AH),0)</f>
        <v>1027509.261150511</v>
      </c>
      <c r="AF45" s="79">
        <f>IFERROR(_xlfn.XLOOKUP(Divisions!C45,'Project Managers'!C:C,'Project Managers'!AI:AI),0)</f>
        <v>0.17012446891850011</v>
      </c>
      <c r="AG45" s="79">
        <f>IFERROR(_xlfn.XLOOKUP(Divisions!C45,'Project Managers'!C:C,'Project Managers'!AJ:AJ),0)</f>
        <v>0</v>
      </c>
      <c r="AH45" s="78">
        <f>IFERROR(_xlfn.XLOOKUP(Divisions!C45,'Project Managers'!C:C,'Project Managers'!AK:AK),0)</f>
        <v>0</v>
      </c>
      <c r="AI45" s="78">
        <f>IFERROR(_xlfn.XLOOKUP(Divisions!C45,'Project Managers'!C:C,'Project Managers'!AL:AL),0)</f>
        <v>0</v>
      </c>
      <c r="AJ45" s="78">
        <f>IFERROR(_xlfn.XLOOKUP(Divisions!C45,'Project Managers'!C:C,'Project Managers'!AM:AM),0)</f>
        <v>0</v>
      </c>
      <c r="AK45" s="79">
        <f>IFERROR(_xlfn.XLOOKUP(Divisions!C45,'Project Managers'!C:C,'Project Managers'!AN:AN),0)</f>
        <v>0</v>
      </c>
      <c r="AL45" s="81"/>
      <c r="AM45" s="81"/>
      <c r="AN45" s="81"/>
      <c r="AO45" s="82">
        <f>IFERROR(_xlfn.XLOOKUP(Divisions!C45,'Project Managers'!C:C,'Project Managers'!AR:AR),0)</f>
        <v>0</v>
      </c>
    </row>
    <row r="46" spans="2:41" ht="15" customHeight="1" x14ac:dyDescent="0.2">
      <c r="B46" s="27" t="s">
        <v>139</v>
      </c>
      <c r="C46" s="77" t="s">
        <v>121</v>
      </c>
      <c r="D46" s="27" t="s">
        <v>122</v>
      </c>
      <c r="E46" s="78">
        <v>70673.08</v>
      </c>
      <c r="F46" s="78">
        <f>IFERROR(Divisions!E46*(1-Divisions!H46),0)</f>
        <v>56538.453447581756</v>
      </c>
      <c r="G46" s="78">
        <f>IFERROR(Divisions!E46-Divisions!F46,0)</f>
        <v>14134.626552418245</v>
      </c>
      <c r="H46" s="79" cm="1">
        <f t="array" ref="H46">IF(ISBLANK(Divisions!AL46),Divisions!R46,Divisions!AL46)</f>
        <v>0.20000014931312241</v>
      </c>
      <c r="I46" s="78">
        <v>66973.350000000006</v>
      </c>
      <c r="J46" s="78">
        <v>53578.67</v>
      </c>
      <c r="K46" s="78">
        <f>IFERROR(Divisions!I46-Divisions!J46,0)</f>
        <v>13394.680000000008</v>
      </c>
      <c r="L46" s="79">
        <f>IFERROR(Divisions!K46/Divisions!I46,0)</f>
        <v>0.20000014931312241</v>
      </c>
      <c r="M46" s="78">
        <v>37427.440000000002</v>
      </c>
      <c r="N46" s="78">
        <f>IFERROR(IF(Divisions!M46-Divisions!I46&gt;0,Divisions!M46-Divisions!I46,0),0)</f>
        <v>0</v>
      </c>
      <c r="O46" s="78">
        <f>IFERROR(IF(Divisions!M46-Divisions!I46&lt;0,Divisions!M46-Divisions!I46,0),0)</f>
        <v>-29545.910000000003</v>
      </c>
      <c r="P46" s="78">
        <f>IFERROR(Divisions!E46-Divisions!I46,0)</f>
        <v>3699.7299999999959</v>
      </c>
      <c r="Q46" s="79">
        <f>IFERROR(Divisions!I46/Divisions!E46,0)</f>
        <v>0.94765008119074479</v>
      </c>
      <c r="R46" s="80">
        <f>IFERROR(_xlfn.XLOOKUP(Divisions!C46,'Project Managers'!C:C,'Project Managers'!R:R),0)</f>
        <v>0.20000014931312241</v>
      </c>
      <c r="S46" s="79">
        <f>IFERROR(_xlfn.XLOOKUP(Divisions!C46,'Project Managers'!C:C,'Project Managers'!T:T),0)</f>
        <v>0.2</v>
      </c>
      <c r="T46" s="78">
        <f>IFERROR(_xlfn.XLOOKUP(Divisions!C46,'Project Managers'!C:C,'Project Managers'!U:U),0)</f>
        <v>0</v>
      </c>
      <c r="U46" s="78">
        <f>IFERROR(_xlfn.XLOOKUP(Divisions!C46,'Project Managers'!C:C,'Project Managers'!W:W),0)</f>
        <v>-1.2500000011641532E-2</v>
      </c>
      <c r="V46" s="79">
        <f>IFERROR(_xlfn.XLOOKUP(Divisions!C46,'Project Managers'!C:C,'Project Managers'!X:X),0)</f>
        <v>1</v>
      </c>
      <c r="W46" s="80">
        <f>IFERROR(_xlfn.XLOOKUP(Divisions!C46,'Project Managers'!C:C,'Project Managers'!Z:Z),0)</f>
        <v>1</v>
      </c>
      <c r="X46" s="78">
        <f>IFERROR(_xlfn.XLOOKUP(Divisions!C46,'Project Managers'!C:C,'Project Managers'!AA:AA),0)</f>
        <v>3699.7299999999959</v>
      </c>
      <c r="Y46" s="78">
        <f>IFERROR(_xlfn.XLOOKUP(Divisions!C46,'Project Managers'!C:C,'Project Managers'!AB:AB),0)</f>
        <v>2959.7834475817585</v>
      </c>
      <c r="Z46" s="78">
        <f>IFERROR(_xlfn.XLOOKUP(Divisions!C46,'Project Managers'!C:C,'Project Managers'!AC:AC),0)</f>
        <v>739.94655241823739</v>
      </c>
      <c r="AA46" s="79">
        <f>IFERROR(_xlfn.XLOOKUP(Divisions!C46,'Project Managers'!C:C,'Project Managers'!AD:AD),0)</f>
        <v>0.20000014931312238</v>
      </c>
      <c r="AB46" s="79">
        <f>IFERROR(_xlfn.XLOOKUP(Divisions!C46,'Project Managers'!C:C,'Project Managers'!AE:AE),0)</f>
        <v>0</v>
      </c>
      <c r="AC46" s="78">
        <f>IFERROR(_xlfn.XLOOKUP(Divisions!C46,'Project Managers'!C:C,'Project Managers'!AF:AF),0)</f>
        <v>0</v>
      </c>
      <c r="AD46" s="78">
        <f>IFERROR(_xlfn.XLOOKUP(Divisions!C46,'Project Managers'!C:C,'Project Managers'!AG:AG),0)</f>
        <v>0</v>
      </c>
      <c r="AE46" s="78">
        <f>IFERROR(_xlfn.XLOOKUP(Divisions!C46,'Project Managers'!C:C,'Project Managers'!AH:AH),0)</f>
        <v>0</v>
      </c>
      <c r="AF46" s="79">
        <f>IFERROR(_xlfn.XLOOKUP(Divisions!C46,'Project Managers'!C:C,'Project Managers'!AI:AI),0)</f>
        <v>0</v>
      </c>
      <c r="AG46" s="79">
        <f>IFERROR(_xlfn.XLOOKUP(Divisions!C46,'Project Managers'!C:C,'Project Managers'!AJ:AJ),0)</f>
        <v>0</v>
      </c>
      <c r="AH46" s="78">
        <f>IFERROR(_xlfn.XLOOKUP(Divisions!C46,'Project Managers'!C:C,'Project Managers'!AK:AK),0)</f>
        <v>0</v>
      </c>
      <c r="AI46" s="78">
        <f>IFERROR(_xlfn.XLOOKUP(Divisions!C46,'Project Managers'!C:C,'Project Managers'!AL:AL),0)</f>
        <v>0</v>
      </c>
      <c r="AJ46" s="78">
        <f>IFERROR(_xlfn.XLOOKUP(Divisions!C46,'Project Managers'!C:C,'Project Managers'!AM:AM),0)</f>
        <v>0</v>
      </c>
      <c r="AK46" s="79">
        <f>IFERROR(_xlfn.XLOOKUP(Divisions!C46,'Project Managers'!C:C,'Project Managers'!AN:AN),0)</f>
        <v>0</v>
      </c>
      <c r="AL46" s="81"/>
      <c r="AM46" s="81"/>
      <c r="AN46" s="81"/>
      <c r="AO46" s="82">
        <f>IFERROR(_xlfn.XLOOKUP(Divisions!C46,'Project Managers'!C:C,'Project Managers'!AR:AR),0)</f>
        <v>0</v>
      </c>
    </row>
    <row r="47" spans="2:41" ht="15" customHeight="1" x14ac:dyDescent="0.2">
      <c r="B47" s="27" t="s">
        <v>139</v>
      </c>
      <c r="C47" s="77" t="s">
        <v>123</v>
      </c>
      <c r="D47" s="27" t="s">
        <v>124</v>
      </c>
      <c r="E47" s="78">
        <v>846</v>
      </c>
      <c r="F47" s="78">
        <f>IFERROR(Divisions!E47*(1-Divisions!H47),0)</f>
        <v>761.4</v>
      </c>
      <c r="G47" s="78">
        <f>IFERROR(Divisions!E47-Divisions!F47,0)</f>
        <v>84.600000000000023</v>
      </c>
      <c r="H47" s="79" cm="1">
        <f t="array" ref="H47">IF(ISBLANK(Divisions!AL47),Divisions!R47,Divisions!AL47)</f>
        <v>0.1</v>
      </c>
      <c r="I47" s="78"/>
      <c r="J47" s="78"/>
      <c r="K47" s="78">
        <f>IFERROR(Divisions!I47-Divisions!J47,0)</f>
        <v>0</v>
      </c>
      <c r="L47" s="79">
        <f>IFERROR(Divisions!K47/Divisions!I47,0)</f>
        <v>0</v>
      </c>
      <c r="M47" s="78">
        <v>846</v>
      </c>
      <c r="N47" s="78">
        <f>IFERROR(IF(Divisions!M47-Divisions!I47&gt;0,Divisions!M47-Divisions!I47,0),0)</f>
        <v>846</v>
      </c>
      <c r="O47" s="78">
        <f>IFERROR(IF(Divisions!M47-Divisions!I47&lt;0,Divisions!M47-Divisions!I47,0),0)</f>
        <v>0</v>
      </c>
      <c r="P47" s="78">
        <f>IFERROR(Divisions!E47-Divisions!I47,0)</f>
        <v>846</v>
      </c>
      <c r="Q47" s="79">
        <f>IFERROR(Divisions!I47/Divisions!E47,0)</f>
        <v>0</v>
      </c>
      <c r="R47" s="80">
        <f>IFERROR(_xlfn.XLOOKUP(Divisions!C47,'Project Managers'!C:C,'Project Managers'!R:R),0)</f>
        <v>0.1</v>
      </c>
      <c r="S47" s="79">
        <f>IFERROR(_xlfn.XLOOKUP(Divisions!C47,'Project Managers'!C:C,'Project Managers'!T:T),0)</f>
        <v>0.25</v>
      </c>
      <c r="T47" s="78">
        <f>IFERROR(_xlfn.XLOOKUP(Divisions!C47,'Project Managers'!C:C,'Project Managers'!U:U),0)</f>
        <v>0</v>
      </c>
      <c r="U47" s="78">
        <f>IFERROR(_xlfn.XLOOKUP(Divisions!C47,'Project Managers'!C:C,'Project Managers'!W:W),0)</f>
        <v>0</v>
      </c>
      <c r="V47" s="79">
        <f>IFERROR(_xlfn.XLOOKUP(Divisions!C47,'Project Managers'!C:C,'Project Managers'!X:X),0)</f>
        <v>1</v>
      </c>
      <c r="W47" s="80">
        <f>IFERROR(_xlfn.XLOOKUP(Divisions!C47,'Project Managers'!C:C,'Project Managers'!Z:Z),0)</f>
        <v>1</v>
      </c>
      <c r="X47" s="78">
        <f>IFERROR(_xlfn.XLOOKUP(Divisions!C47,'Project Managers'!C:C,'Project Managers'!AA:AA),0)</f>
        <v>846</v>
      </c>
      <c r="Y47" s="78">
        <f>IFERROR(_xlfn.XLOOKUP(Divisions!C47,'Project Managers'!C:C,'Project Managers'!AB:AB),0)</f>
        <v>846</v>
      </c>
      <c r="Z47" s="78">
        <f>IFERROR(_xlfn.XLOOKUP(Divisions!C47,'Project Managers'!C:C,'Project Managers'!AC:AC),0)</f>
        <v>0</v>
      </c>
      <c r="AA47" s="79">
        <f>IFERROR(_xlfn.XLOOKUP(Divisions!C47,'Project Managers'!C:C,'Project Managers'!AD:AD),0)</f>
        <v>0</v>
      </c>
      <c r="AB47" s="79">
        <f>IFERROR(_xlfn.XLOOKUP(Divisions!C47,'Project Managers'!C:C,'Project Managers'!AE:AE),0)</f>
        <v>0</v>
      </c>
      <c r="AC47" s="78">
        <f>IFERROR(_xlfn.XLOOKUP(Divisions!C47,'Project Managers'!C:C,'Project Managers'!AF:AF),0)</f>
        <v>0</v>
      </c>
      <c r="AD47" s="78">
        <f>IFERROR(_xlfn.XLOOKUP(Divisions!C47,'Project Managers'!C:C,'Project Managers'!AG:AG),0)</f>
        <v>0</v>
      </c>
      <c r="AE47" s="78">
        <f>IFERROR(_xlfn.XLOOKUP(Divisions!C47,'Project Managers'!C:C,'Project Managers'!AH:AH),0)</f>
        <v>0</v>
      </c>
      <c r="AF47" s="79">
        <f>IFERROR(_xlfn.XLOOKUP(Divisions!C47,'Project Managers'!C:C,'Project Managers'!AI:AI),0)</f>
        <v>0</v>
      </c>
      <c r="AG47" s="79">
        <f>IFERROR(_xlfn.XLOOKUP(Divisions!C47,'Project Managers'!C:C,'Project Managers'!AJ:AJ),0)</f>
        <v>0</v>
      </c>
      <c r="AH47" s="78">
        <f>IFERROR(_xlfn.XLOOKUP(Divisions!C47,'Project Managers'!C:C,'Project Managers'!AK:AK),0)</f>
        <v>0</v>
      </c>
      <c r="AI47" s="78">
        <f>IFERROR(_xlfn.XLOOKUP(Divisions!C47,'Project Managers'!C:C,'Project Managers'!AL:AL),0)</f>
        <v>0</v>
      </c>
      <c r="AJ47" s="78">
        <f>IFERROR(_xlfn.XLOOKUP(Divisions!C47,'Project Managers'!C:C,'Project Managers'!AM:AM),0)</f>
        <v>0</v>
      </c>
      <c r="AK47" s="79">
        <f>IFERROR(_xlfn.XLOOKUP(Divisions!C47,'Project Managers'!C:C,'Project Managers'!AN:AN),0)</f>
        <v>0</v>
      </c>
      <c r="AL47" s="81"/>
      <c r="AM47" s="81"/>
      <c r="AN47" s="81"/>
      <c r="AO47" s="82">
        <f>IFERROR(_xlfn.XLOOKUP(Divisions!C47,'Project Managers'!C:C,'Project Managers'!AR:AR),0)</f>
        <v>0</v>
      </c>
    </row>
    <row r="48" spans="2:41" ht="15" customHeight="1" x14ac:dyDescent="0.2">
      <c r="B48" s="27" t="s">
        <v>139</v>
      </c>
      <c r="C48" s="77" t="s">
        <v>125</v>
      </c>
      <c r="D48" s="27" t="s">
        <v>126</v>
      </c>
      <c r="E48" s="78">
        <v>2574</v>
      </c>
      <c r="F48" s="78">
        <f>IFERROR(Divisions!E48*(1-Divisions!H48),0)</f>
        <v>2059.1945342485387</v>
      </c>
      <c r="G48" s="78">
        <f>IFERROR(Divisions!E48-Divisions!F48,0)</f>
        <v>514.80546575146127</v>
      </c>
      <c r="H48" s="79" cm="1">
        <f t="array" ref="H48">IF(ISBLANK(Divisions!AL48),Divisions!R48,Divisions!AL48)</f>
        <v>0.20000212344656612</v>
      </c>
      <c r="I48" s="78">
        <v>1883.73</v>
      </c>
      <c r="J48" s="78">
        <v>1506.98</v>
      </c>
      <c r="K48" s="78">
        <f>IFERROR(Divisions!I48-Divisions!J48,0)</f>
        <v>376.75</v>
      </c>
      <c r="L48" s="79">
        <f>IFERROR(Divisions!K48/Divisions!I48,0)</f>
        <v>0.20000212344656612</v>
      </c>
      <c r="M48" s="78">
        <v>2574</v>
      </c>
      <c r="N48" s="78">
        <f>IFERROR(IF(Divisions!M48-Divisions!I48&gt;0,Divisions!M48-Divisions!I48,0),0)</f>
        <v>690.27</v>
      </c>
      <c r="O48" s="78">
        <f>IFERROR(IF(Divisions!M48-Divisions!I48&lt;0,Divisions!M48-Divisions!I48,0),0)</f>
        <v>0</v>
      </c>
      <c r="P48" s="78">
        <f>IFERROR(Divisions!E48-Divisions!I48,0)</f>
        <v>690.27</v>
      </c>
      <c r="Q48" s="79">
        <f>IFERROR(Divisions!I48/Divisions!E48,0)</f>
        <v>0.73182983682983682</v>
      </c>
      <c r="R48" s="80">
        <f>IFERROR(_xlfn.XLOOKUP(Divisions!C48,'Project Managers'!C:C,'Project Managers'!R:R),0)</f>
        <v>0.20000212344656612</v>
      </c>
      <c r="S48" s="79">
        <f>IFERROR(_xlfn.XLOOKUP(Divisions!C48,'Project Managers'!C:C,'Project Managers'!T:T),0)</f>
        <v>0.2</v>
      </c>
      <c r="T48" s="78">
        <f>IFERROR(_xlfn.XLOOKUP(Divisions!C48,'Project Managers'!C:C,'Project Managers'!U:U),0)</f>
        <v>0</v>
      </c>
      <c r="U48" s="78">
        <f>IFERROR(_xlfn.XLOOKUP(Divisions!C48,'Project Managers'!C:C,'Project Managers'!W:W),0)</f>
        <v>-5.0000000001091394E-3</v>
      </c>
      <c r="V48" s="79">
        <f>IFERROR(_xlfn.XLOOKUP(Divisions!C48,'Project Managers'!C:C,'Project Managers'!X:X),0)</f>
        <v>1</v>
      </c>
      <c r="W48" s="80">
        <f>IFERROR(_xlfn.XLOOKUP(Divisions!C48,'Project Managers'!C:C,'Project Managers'!Z:Z),0)</f>
        <v>1</v>
      </c>
      <c r="X48" s="78">
        <f>IFERROR(_xlfn.XLOOKUP(Divisions!C48,'Project Managers'!C:C,'Project Managers'!AA:AA),0)</f>
        <v>690.27</v>
      </c>
      <c r="Y48" s="78">
        <f>IFERROR(_xlfn.XLOOKUP(Divisions!C48,'Project Managers'!C:C,'Project Managers'!AB:AB),0)</f>
        <v>552.21453424853883</v>
      </c>
      <c r="Z48" s="78">
        <f>IFERROR(_xlfn.XLOOKUP(Divisions!C48,'Project Managers'!C:C,'Project Managers'!AC:AC),0)</f>
        <v>138.05546575146116</v>
      </c>
      <c r="AA48" s="79">
        <f>IFERROR(_xlfn.XLOOKUP(Divisions!C48,'Project Managers'!C:C,'Project Managers'!AD:AD),0)</f>
        <v>0.20000212344656607</v>
      </c>
      <c r="AB48" s="79">
        <f>IFERROR(_xlfn.XLOOKUP(Divisions!C48,'Project Managers'!C:C,'Project Managers'!AE:AE),0)</f>
        <v>0</v>
      </c>
      <c r="AC48" s="78">
        <f>IFERROR(_xlfn.XLOOKUP(Divisions!C48,'Project Managers'!C:C,'Project Managers'!AF:AF),0)</f>
        <v>0</v>
      </c>
      <c r="AD48" s="78">
        <f>IFERROR(_xlfn.XLOOKUP(Divisions!C48,'Project Managers'!C:C,'Project Managers'!AG:AG),0)</f>
        <v>0</v>
      </c>
      <c r="AE48" s="78">
        <f>IFERROR(_xlfn.XLOOKUP(Divisions!C48,'Project Managers'!C:C,'Project Managers'!AH:AH),0)</f>
        <v>0</v>
      </c>
      <c r="AF48" s="79">
        <f>IFERROR(_xlfn.XLOOKUP(Divisions!C48,'Project Managers'!C:C,'Project Managers'!AI:AI),0)</f>
        <v>0</v>
      </c>
      <c r="AG48" s="79">
        <f>IFERROR(_xlfn.XLOOKUP(Divisions!C48,'Project Managers'!C:C,'Project Managers'!AJ:AJ),0)</f>
        <v>0</v>
      </c>
      <c r="AH48" s="78">
        <f>IFERROR(_xlfn.XLOOKUP(Divisions!C48,'Project Managers'!C:C,'Project Managers'!AK:AK),0)</f>
        <v>0</v>
      </c>
      <c r="AI48" s="78">
        <f>IFERROR(_xlfn.XLOOKUP(Divisions!C48,'Project Managers'!C:C,'Project Managers'!AL:AL),0)</f>
        <v>0</v>
      </c>
      <c r="AJ48" s="78">
        <f>IFERROR(_xlfn.XLOOKUP(Divisions!C48,'Project Managers'!C:C,'Project Managers'!AM:AM),0)</f>
        <v>0</v>
      </c>
      <c r="AK48" s="79">
        <f>IFERROR(_xlfn.XLOOKUP(Divisions!C48,'Project Managers'!C:C,'Project Managers'!AN:AN),0)</f>
        <v>0</v>
      </c>
      <c r="AL48" s="81"/>
      <c r="AM48" s="81"/>
      <c r="AN48" s="81"/>
      <c r="AO48" s="82">
        <f>IFERROR(_xlfn.XLOOKUP(Divisions!C48,'Project Managers'!C:C,'Project Managers'!AR:AR),0)</f>
        <v>0</v>
      </c>
    </row>
    <row r="49" spans="2:41" ht="15" customHeight="1" x14ac:dyDescent="0.2">
      <c r="B49" s="27" t="s">
        <v>139</v>
      </c>
      <c r="C49" s="77" t="s">
        <v>127</v>
      </c>
      <c r="D49" s="27" t="s">
        <v>128</v>
      </c>
      <c r="E49" s="78">
        <v>1212523</v>
      </c>
      <c r="F49" s="78">
        <f>IFERROR(Divisions!E49*(1-Divisions!H49),0)</f>
        <v>1212523</v>
      </c>
      <c r="G49" s="78">
        <f>IFERROR(Divisions!E49-Divisions!F49,0)</f>
        <v>0</v>
      </c>
      <c r="H49" s="79" cm="1">
        <f t="array" ref="H49">IF(ISBLANK(Divisions!AL49),Divisions!R49,Divisions!AL49)</f>
        <v>0</v>
      </c>
      <c r="I49" s="78"/>
      <c r="J49" s="78"/>
      <c r="K49" s="78">
        <f>IFERROR(Divisions!I49-Divisions!J49,0)</f>
        <v>0</v>
      </c>
      <c r="L49" s="79">
        <f>IFERROR(Divisions!K49/Divisions!I49,0)</f>
        <v>0</v>
      </c>
      <c r="M49" s="78"/>
      <c r="N49" s="78">
        <f>IFERROR(IF(Divisions!M49-Divisions!I49&gt;0,Divisions!M49-Divisions!I49,0),0)</f>
        <v>0</v>
      </c>
      <c r="O49" s="78">
        <f>IFERROR(IF(Divisions!M49-Divisions!I49&lt;0,Divisions!M49-Divisions!I49,0),0)</f>
        <v>0</v>
      </c>
      <c r="P49" s="78">
        <f>IFERROR(Divisions!E49-Divisions!I49,0)</f>
        <v>1212523</v>
      </c>
      <c r="Q49" s="79">
        <f>IFERROR(Divisions!I49/Divisions!E49,0)</f>
        <v>0</v>
      </c>
      <c r="R49" s="80">
        <f>IFERROR(_xlfn.XLOOKUP(Divisions!C49,'Project Managers'!C:C,'Project Managers'!R:R),0)</f>
        <v>0</v>
      </c>
      <c r="S49" s="79">
        <f>IFERROR(_xlfn.XLOOKUP(Divisions!C49,'Project Managers'!C:C,'Project Managers'!T:T),0)</f>
        <v>0.2</v>
      </c>
      <c r="T49" s="78">
        <f>IFERROR(_xlfn.XLOOKUP(Divisions!C49,'Project Managers'!C:C,'Project Managers'!U:U),0)</f>
        <v>0</v>
      </c>
      <c r="U49" s="78">
        <f>IFERROR(_xlfn.XLOOKUP(Divisions!C49,'Project Managers'!C:C,'Project Managers'!W:W),0)</f>
        <v>0</v>
      </c>
      <c r="V49" s="79">
        <f>IFERROR(_xlfn.XLOOKUP(Divisions!C49,'Project Managers'!C:C,'Project Managers'!X:X),0)</f>
        <v>1</v>
      </c>
      <c r="W49" s="80">
        <f>IFERROR(_xlfn.XLOOKUP(Divisions!C49,'Project Managers'!C:C,'Project Managers'!Z:Z),0)</f>
        <v>0.02</v>
      </c>
      <c r="X49" s="78">
        <f>IFERROR(_xlfn.XLOOKUP(Divisions!C49,'Project Managers'!C:C,'Project Managers'!AA:AA),0)</f>
        <v>24250.46</v>
      </c>
      <c r="Y49" s="78">
        <f>IFERROR(_xlfn.XLOOKUP(Divisions!C49,'Project Managers'!C:C,'Project Managers'!AB:AB),0)</f>
        <v>24250.46</v>
      </c>
      <c r="Z49" s="78">
        <f>IFERROR(_xlfn.XLOOKUP(Divisions!C49,'Project Managers'!C:C,'Project Managers'!AC:AC),0)</f>
        <v>0</v>
      </c>
      <c r="AA49" s="79">
        <f>IFERROR(_xlfn.XLOOKUP(Divisions!C49,'Project Managers'!C:C,'Project Managers'!AD:AD),0)</f>
        <v>0</v>
      </c>
      <c r="AB49" s="79">
        <f>IFERROR(_xlfn.XLOOKUP(Divisions!C49,'Project Managers'!C:C,'Project Managers'!AE:AE),0)</f>
        <v>1</v>
      </c>
      <c r="AC49" s="78">
        <f>IFERROR(_xlfn.XLOOKUP(Divisions!C49,'Project Managers'!C:C,'Project Managers'!AF:AF),0)</f>
        <v>1188272.54</v>
      </c>
      <c r="AD49" s="78">
        <f>IFERROR(_xlfn.XLOOKUP(Divisions!C49,'Project Managers'!C:C,'Project Managers'!AG:AG),0)</f>
        <v>1188272.54</v>
      </c>
      <c r="AE49" s="78">
        <f>IFERROR(_xlfn.XLOOKUP(Divisions!C49,'Project Managers'!C:C,'Project Managers'!AH:AH),0)</f>
        <v>0</v>
      </c>
      <c r="AF49" s="79">
        <f>IFERROR(_xlfn.XLOOKUP(Divisions!C49,'Project Managers'!C:C,'Project Managers'!AI:AI),0)</f>
        <v>0</v>
      </c>
      <c r="AG49" s="79">
        <f>IFERROR(_xlfn.XLOOKUP(Divisions!C49,'Project Managers'!C:C,'Project Managers'!AJ:AJ),0)</f>
        <v>0</v>
      </c>
      <c r="AH49" s="78">
        <f>IFERROR(_xlfn.XLOOKUP(Divisions!C49,'Project Managers'!C:C,'Project Managers'!AK:AK),0)</f>
        <v>0</v>
      </c>
      <c r="AI49" s="78">
        <f>IFERROR(_xlfn.XLOOKUP(Divisions!C49,'Project Managers'!C:C,'Project Managers'!AL:AL),0)</f>
        <v>0</v>
      </c>
      <c r="AJ49" s="78">
        <f>IFERROR(_xlfn.XLOOKUP(Divisions!C49,'Project Managers'!C:C,'Project Managers'!AM:AM),0)</f>
        <v>0</v>
      </c>
      <c r="AK49" s="79">
        <f>IFERROR(_xlfn.XLOOKUP(Divisions!C49,'Project Managers'!C:C,'Project Managers'!AN:AN),0)</f>
        <v>0</v>
      </c>
      <c r="AL49" s="81"/>
      <c r="AM49" s="81"/>
      <c r="AN49" s="81"/>
      <c r="AO49" s="82">
        <f>IFERROR(_xlfn.XLOOKUP(Divisions!C49,'Project Managers'!C:C,'Project Managers'!AR:AR),0)</f>
        <v>0</v>
      </c>
    </row>
    <row r="50" spans="2:41" ht="15" customHeight="1" x14ac:dyDescent="0.2">
      <c r="B50" s="27" t="s">
        <v>139</v>
      </c>
      <c r="C50" s="77" t="s">
        <v>131</v>
      </c>
      <c r="D50" s="27" t="s">
        <v>132</v>
      </c>
      <c r="E50" s="78">
        <v>0</v>
      </c>
      <c r="F50" s="78">
        <f>IFERROR(Divisions!E50*(1-Divisions!H50),0)</f>
        <v>0</v>
      </c>
      <c r="G50" s="78">
        <f>IFERROR(Divisions!E50-Divisions!F50,0)</f>
        <v>0</v>
      </c>
      <c r="H50" s="79" cm="1">
        <f t="array" ref="H50">IF(ISBLANK(Divisions!AL50),Divisions!R50,Divisions!AL50)</f>
        <v>0.2</v>
      </c>
      <c r="I50" s="78">
        <v>0</v>
      </c>
      <c r="J50" s="78">
        <v>0</v>
      </c>
      <c r="K50" s="78">
        <f>IFERROR(Divisions!I50-Divisions!J50,0)</f>
        <v>0</v>
      </c>
      <c r="L50" s="79">
        <f>IFERROR(Divisions!K50/Divisions!I50,0)</f>
        <v>0</v>
      </c>
      <c r="M50" s="78"/>
      <c r="N50" s="78">
        <f>IFERROR(IF(Divisions!M50-Divisions!I50&gt;0,Divisions!M50-Divisions!I50,0),0)</f>
        <v>0</v>
      </c>
      <c r="O50" s="78">
        <f>IFERROR(IF(Divisions!M50-Divisions!I50&lt;0,Divisions!M50-Divisions!I50,0),0)</f>
        <v>0</v>
      </c>
      <c r="P50" s="78">
        <f>IFERROR(Divisions!E50-Divisions!I50,0)</f>
        <v>0</v>
      </c>
      <c r="Q50" s="79">
        <f>IFERROR(Divisions!I50/Divisions!E50,0)</f>
        <v>0</v>
      </c>
      <c r="R50" s="80">
        <f>IFERROR(_xlfn.XLOOKUP(Divisions!C50,'Project Managers'!C:C,'Project Managers'!R:R),0)</f>
        <v>0.2</v>
      </c>
      <c r="S50" s="79">
        <f>IFERROR(_xlfn.XLOOKUP(Divisions!C50,'Project Managers'!C:C,'Project Managers'!T:T),0)</f>
        <v>0</v>
      </c>
      <c r="T50" s="78">
        <f>IFERROR(_xlfn.XLOOKUP(Divisions!C50,'Project Managers'!C:C,'Project Managers'!U:U),0)</f>
        <v>0</v>
      </c>
      <c r="U50" s="78">
        <f>IFERROR(_xlfn.XLOOKUP(Divisions!C50,'Project Managers'!C:C,'Project Managers'!W:W),0)</f>
        <v>0</v>
      </c>
      <c r="V50" s="79">
        <f>IFERROR(_xlfn.XLOOKUP(Divisions!C50,'Project Managers'!C:C,'Project Managers'!X:X),0)</f>
        <v>1</v>
      </c>
      <c r="W50" s="80">
        <f>IFERROR(_xlfn.XLOOKUP(Divisions!C50,'Project Managers'!C:C,'Project Managers'!Z:Z),0)</f>
        <v>0</v>
      </c>
      <c r="X50" s="78">
        <f>IFERROR(_xlfn.XLOOKUP(Divisions!C50,'Project Managers'!C:C,'Project Managers'!AA:AA),0)</f>
        <v>0</v>
      </c>
      <c r="Y50" s="78">
        <f>IFERROR(_xlfn.XLOOKUP(Divisions!C50,'Project Managers'!C:C,'Project Managers'!AB:AB),0)</f>
        <v>0</v>
      </c>
      <c r="Z50" s="78">
        <f>IFERROR(_xlfn.XLOOKUP(Divisions!C50,'Project Managers'!C:C,'Project Managers'!AC:AC),0)</f>
        <v>0</v>
      </c>
      <c r="AA50" s="79">
        <f>IFERROR(_xlfn.XLOOKUP(Divisions!C50,'Project Managers'!C:C,'Project Managers'!AD:AD),0)</f>
        <v>0</v>
      </c>
      <c r="AB50" s="79">
        <f>IFERROR(_xlfn.XLOOKUP(Divisions!C50,'Project Managers'!C:C,'Project Managers'!AE:AE),0)</f>
        <v>1</v>
      </c>
      <c r="AC50" s="78">
        <f>IFERROR(_xlfn.XLOOKUP(Divisions!C50,'Project Managers'!C:C,'Project Managers'!AF:AF),0)</f>
        <v>0</v>
      </c>
      <c r="AD50" s="78">
        <f>IFERROR(_xlfn.XLOOKUP(Divisions!C50,'Project Managers'!C:C,'Project Managers'!AG:AG),0)</f>
        <v>0</v>
      </c>
      <c r="AE50" s="78">
        <f>IFERROR(_xlfn.XLOOKUP(Divisions!C50,'Project Managers'!C:C,'Project Managers'!AH:AH),0)</f>
        <v>0</v>
      </c>
      <c r="AF50" s="79">
        <f>IFERROR(_xlfn.XLOOKUP(Divisions!C50,'Project Managers'!C:C,'Project Managers'!AI:AI),0)</f>
        <v>0</v>
      </c>
      <c r="AG50" s="79">
        <f>IFERROR(_xlfn.XLOOKUP(Divisions!C50,'Project Managers'!C:C,'Project Managers'!AJ:AJ),0)</f>
        <v>0</v>
      </c>
      <c r="AH50" s="78">
        <f>IFERROR(_xlfn.XLOOKUP(Divisions!C50,'Project Managers'!C:C,'Project Managers'!AK:AK),0)</f>
        <v>0</v>
      </c>
      <c r="AI50" s="78">
        <f>IFERROR(_xlfn.XLOOKUP(Divisions!C50,'Project Managers'!C:C,'Project Managers'!AL:AL),0)</f>
        <v>0</v>
      </c>
      <c r="AJ50" s="78">
        <f>IFERROR(_xlfn.XLOOKUP(Divisions!C50,'Project Managers'!C:C,'Project Managers'!AM:AM),0)</f>
        <v>0</v>
      </c>
      <c r="AK50" s="79">
        <f>IFERROR(_xlfn.XLOOKUP(Divisions!C50,'Project Managers'!C:C,'Project Managers'!AN:AN),0)</f>
        <v>0</v>
      </c>
      <c r="AL50" s="81"/>
      <c r="AM50" s="81"/>
      <c r="AN50" s="81"/>
      <c r="AO50" s="82">
        <f>IFERROR(_xlfn.XLOOKUP(Divisions!C50,'Project Managers'!C:C,'Project Managers'!AR:AR),0)</f>
        <v>0</v>
      </c>
    </row>
    <row r="51" spans="2:41" ht="15" customHeight="1" x14ac:dyDescent="0.2">
      <c r="B51" s="83" t="s">
        <v>134</v>
      </c>
      <c r="C51" s="42" t="s">
        <v>55</v>
      </c>
      <c r="D51" s="42" t="s">
        <v>55</v>
      </c>
      <c r="E51" s="84">
        <f t="shared" ref="E51:AJ51" si="0">SUBTOTAL(9,E16:E50)</f>
        <v>118333062.43999998</v>
      </c>
      <c r="F51" s="85">
        <f t="shared" si="0"/>
        <v>97702071.666488767</v>
      </c>
      <c r="G51" s="84">
        <f t="shared" si="0"/>
        <v>20630990.773511242</v>
      </c>
      <c r="H51" s="86" t="str" cm="1">
        <f t="array" ref="H51">IF(ISBLANK(Divisions!AL51),Divisions!R51,Divisions!AL51)</f>
        <v>-</v>
      </c>
      <c r="I51" s="84">
        <f t="shared" si="0"/>
        <v>83449271.73999998</v>
      </c>
      <c r="J51" s="84">
        <f t="shared" si="0"/>
        <v>67341286.710000008</v>
      </c>
      <c r="K51" s="84">
        <f t="shared" si="0"/>
        <v>16107985.029999997</v>
      </c>
      <c r="L51" s="86">
        <f>IFERROR(Divisions!K51/Divisions!I51,0)</f>
        <v>0.19302726907176723</v>
      </c>
      <c r="M51" s="84">
        <f t="shared" si="0"/>
        <v>86642983.269999981</v>
      </c>
      <c r="N51" s="84">
        <f t="shared" si="0"/>
        <v>3642642.85</v>
      </c>
      <c r="O51" s="84">
        <f t="shared" si="0"/>
        <v>-448931.31999999983</v>
      </c>
      <c r="P51" s="84">
        <f t="shared" si="0"/>
        <v>34883790.699999996</v>
      </c>
      <c r="Q51" s="86">
        <f>IFERROR(Divisions!I51/Divisions!E51,0)</f>
        <v>0.70520672768282655</v>
      </c>
      <c r="R51" s="87" t="s">
        <v>55</v>
      </c>
      <c r="S51" s="86" t="s">
        <v>55</v>
      </c>
      <c r="T51" s="84">
        <f t="shared" si="0"/>
        <v>3922768.2656687326</v>
      </c>
      <c r="U51" s="84">
        <f t="shared" si="0"/>
        <v>509684.13534437929</v>
      </c>
      <c r="V51" s="86" t="s">
        <v>55</v>
      </c>
      <c r="W51" s="87" t="s">
        <v>55</v>
      </c>
      <c r="X51" s="84">
        <f t="shared" si="0"/>
        <v>4221053.736800001</v>
      </c>
      <c r="Y51" s="84">
        <f t="shared" si="0"/>
        <v>3294176.7934882129</v>
      </c>
      <c r="Z51" s="84">
        <f t="shared" si="0"/>
        <v>926876.94331178826</v>
      </c>
      <c r="AA51" s="86" t="s">
        <v>55</v>
      </c>
      <c r="AB51" s="86" t="s">
        <v>55</v>
      </c>
      <c r="AC51" s="84">
        <f t="shared" si="0"/>
        <v>30662736.963199995</v>
      </c>
      <c r="AD51" s="84">
        <f t="shared" si="0"/>
        <v>25652287.609459728</v>
      </c>
      <c r="AE51" s="84">
        <f t="shared" si="0"/>
        <v>5010449.3537402637</v>
      </c>
      <c r="AF51" s="86" t="s">
        <v>55</v>
      </c>
      <c r="AG51" s="86" t="s">
        <v>55</v>
      </c>
      <c r="AH51" s="84">
        <f t="shared" si="0"/>
        <v>0</v>
      </c>
      <c r="AI51" s="84">
        <f t="shared" si="0"/>
        <v>0</v>
      </c>
      <c r="AJ51" s="84">
        <f t="shared" si="0"/>
        <v>0</v>
      </c>
      <c r="AK51" s="86" t="s">
        <v>55</v>
      </c>
      <c r="AL51" s="88" t="s">
        <v>55</v>
      </c>
      <c r="AM51" s="88" t="s">
        <v>55</v>
      </c>
      <c r="AN51" s="88" t="s">
        <v>55</v>
      </c>
      <c r="AO51" s="89" t="s">
        <v>55</v>
      </c>
    </row>
  </sheetData>
  <mergeCells count="7">
    <mergeCell ref="H2:L2"/>
    <mergeCell ref="H4:L4"/>
    <mergeCell ref="H3:L3"/>
    <mergeCell ref="AG6:AK6"/>
    <mergeCell ref="AB6:AF6"/>
    <mergeCell ref="X6:AA6"/>
    <mergeCell ref="E6:H6"/>
  </mergeCells>
  <conditionalFormatting sqref="S1:S14 S17:S100">
    <cfRule type="expression" dxfId="0" priority="1">
      <formula>$S:$S&lt;&gt;$R:$R</formula>
    </cfRule>
  </conditionalFormatting>
  <pageMargins left="0.7" right="0.7" top="0.75" bottom="0.75" header="0.3" footer="0.3"/>
  <pageSetup pageOrder="overThenDown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3838-DB4B-3F58-1E88-5AFD3F24EEE8}">
  <dimension ref="B3:B4"/>
  <sheetViews>
    <sheetView workbookViewId="0">
      <selection activeCell="F30" sqref="F30"/>
    </sheetView>
  </sheetViews>
  <sheetFormatPr baseColWidth="10" defaultColWidth="8.83203125" defaultRowHeight="15" customHeight="1" x14ac:dyDescent="0.2"/>
  <cols>
    <col min="1" max="26" width="12.1640625" customWidth="1"/>
  </cols>
  <sheetData>
    <row r="3" spans="2:2" ht="15" customHeight="1" x14ac:dyDescent="0.2">
      <c r="B3" s="90" t="s">
        <v>140</v>
      </c>
    </row>
    <row r="4" spans="2:2" ht="15" customHeight="1" x14ac:dyDescent="0.2">
      <c r="B4" s="91" t="s">
        <v>136</v>
      </c>
    </row>
  </sheetData>
  <pageMargins left="0.7" right="0.7" top="0.75" bottom="0.75" header="0.3" footer="0.3"/>
  <pageSetup pageOrder="overThenDown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199</vt:i4>
      </vt:variant>
    </vt:vector>
  </HeadingPairs>
  <TitlesOfParts>
    <vt:vector size="203" baseType="lpstr">
      <vt:lpstr>Query</vt:lpstr>
      <vt:lpstr>Project Managers</vt:lpstr>
      <vt:lpstr>Divisions</vt:lpstr>
      <vt:lpstr>EOperiodDate</vt:lpstr>
      <vt:lpstr>__Complete___YE_Block5</vt:lpstr>
      <vt:lpstr>__Complete___YE_Block6</vt:lpstr>
      <vt:lpstr>__Complete___YE_Block8</vt:lpstr>
      <vt:lpstr>__Complete___YE_Division</vt:lpstr>
      <vt:lpstr>__Complete___YE_WIP_ProjectManager</vt:lpstr>
      <vt:lpstr>__Complete_Block5</vt:lpstr>
      <vt:lpstr>__Complete_Block6</vt:lpstr>
      <vt:lpstr>__Complete_Block8</vt:lpstr>
      <vt:lpstr>__Complete_Division</vt:lpstr>
      <vt:lpstr>__Complete_WIP_ProjectManager</vt:lpstr>
      <vt:lpstr>_CY1_Estimated__Cost__Block8</vt:lpstr>
      <vt:lpstr>_CY1_Estimated__Cost__Division</vt:lpstr>
      <vt:lpstr>_CY1_Estimated__Cost__WIP_ProjectManager</vt:lpstr>
      <vt:lpstr>_Estimated__Cost__Block5</vt:lpstr>
      <vt:lpstr>_Estimated__Cost__Block6</vt:lpstr>
      <vt:lpstr>_Under__Billing_Block5</vt:lpstr>
      <vt:lpstr>_Under__Billing_Block6</vt:lpstr>
      <vt:lpstr>_Under__Billing_Block8</vt:lpstr>
      <vt:lpstr>_Under__Billing_Division</vt:lpstr>
      <vt:lpstr>_Under__Billing_WIP_ProjectManager</vt:lpstr>
      <vt:lpstr>Backlog_Block5</vt:lpstr>
      <vt:lpstr>Backlog_Block6</vt:lpstr>
      <vt:lpstr>Backlog_Block8</vt:lpstr>
      <vt:lpstr>Backlog_Division</vt:lpstr>
      <vt:lpstr>Backlog_WIP_ProjectManager</vt:lpstr>
      <vt:lpstr>Billed_Amount_Block5</vt:lpstr>
      <vt:lpstr>Billed_Amount_Block6</vt:lpstr>
      <vt:lpstr>Billed_Amount_Block8</vt:lpstr>
      <vt:lpstr>Billed_Amount_Division</vt:lpstr>
      <vt:lpstr>Billed_Amount_WIP_ProjectManager</vt:lpstr>
      <vt:lpstr>Comments_Block5</vt:lpstr>
      <vt:lpstr>Comments_Block6</vt:lpstr>
      <vt:lpstr>Comments_Block8</vt:lpstr>
      <vt:lpstr>Comments_Division</vt:lpstr>
      <vt:lpstr>Comments_WIP_ProjectManager</vt:lpstr>
      <vt:lpstr>Contract__Amount_Block5</vt:lpstr>
      <vt:lpstr>Contract__Amount_Block6</vt:lpstr>
      <vt:lpstr>Contract_Amount____Block5</vt:lpstr>
      <vt:lpstr>Contract_Amount____Block6</vt:lpstr>
      <vt:lpstr>Contract_Amount__Block5</vt:lpstr>
      <vt:lpstr>Contract_Amount__Block6</vt:lpstr>
      <vt:lpstr>Cost_to_Date_Block5</vt:lpstr>
      <vt:lpstr>Cost_to_Date_Block6</vt:lpstr>
      <vt:lpstr>Cost_to_Date_Block8</vt:lpstr>
      <vt:lpstr>Cost_to_Date_Division</vt:lpstr>
      <vt:lpstr>Cost_to_Date_WIP_ProjectManager</vt:lpstr>
      <vt:lpstr>Current_Contract_Amount_Block5</vt:lpstr>
      <vt:lpstr>Current_Contract_Amount_Block6</vt:lpstr>
      <vt:lpstr>Current_Contract_Amount_Block8</vt:lpstr>
      <vt:lpstr>Current_Contract_Amount_Division</vt:lpstr>
      <vt:lpstr>Current_Contract_Amount_WIP_ProjectManager</vt:lpstr>
      <vt:lpstr>CY_Contract_Amount__Block8</vt:lpstr>
      <vt:lpstr>CY_Contract_Amount__Division</vt:lpstr>
      <vt:lpstr>CY_Contract_Amount__WIP_ProjectManager</vt:lpstr>
      <vt:lpstr>CY_Estimated_Cost_Block8</vt:lpstr>
      <vt:lpstr>CY_Estimated_Cost_Division</vt:lpstr>
      <vt:lpstr>CY_Estimated_Cost_WIP_ProjectManager</vt:lpstr>
      <vt:lpstr>CY_GM_____Block8</vt:lpstr>
      <vt:lpstr>CY_GM_____Division</vt:lpstr>
      <vt:lpstr>CY_GM_____WIP_ProjectManager</vt:lpstr>
      <vt:lpstr>CY_Gross_Margin_Block8</vt:lpstr>
      <vt:lpstr>CY_Gross_Margin_Division</vt:lpstr>
      <vt:lpstr>CY_Gross_Margin_WIP_ProjectManager</vt:lpstr>
      <vt:lpstr>CY_Revised___Complete_Block8</vt:lpstr>
      <vt:lpstr>CY_Revised___Complete_Division</vt:lpstr>
      <vt:lpstr>CY1_Contract__Amount_Block8</vt:lpstr>
      <vt:lpstr>CY1_Contract__Amount_Division</vt:lpstr>
      <vt:lpstr>CY1_Contract__Amount_WIP_ProjectManager</vt:lpstr>
      <vt:lpstr>CY1_Gross__Margin_Block8</vt:lpstr>
      <vt:lpstr>CY1_Gross__Margin_Division</vt:lpstr>
      <vt:lpstr>CY1_Gross__Margin_WIP_ProjectManager</vt:lpstr>
      <vt:lpstr>CY1GM___Block8</vt:lpstr>
      <vt:lpstr>CY1GM___Division</vt:lpstr>
      <vt:lpstr>CY1GM___WIP_ProjectManager</vt:lpstr>
      <vt:lpstr>CY2_Contract_Amount___Block8</vt:lpstr>
      <vt:lpstr>CY2_Contract_Amount___Division</vt:lpstr>
      <vt:lpstr>CY2_Contract_Amount___WIP_ProjectManager</vt:lpstr>
      <vt:lpstr>CY2_Estimated_Cost____Block8</vt:lpstr>
      <vt:lpstr>CY2_Estimated_Cost____Division</vt:lpstr>
      <vt:lpstr>CY2_Estimated_Cost____WIP_ProjectManager</vt:lpstr>
      <vt:lpstr>CY2_GM_______Block8</vt:lpstr>
      <vt:lpstr>CY2_GM_______Division</vt:lpstr>
      <vt:lpstr>CY2_GM_______WIP_ProjectManager</vt:lpstr>
      <vt:lpstr>CY2_Gross_Margin____Block8</vt:lpstr>
      <vt:lpstr>CY2_Gross_Margin____Division</vt:lpstr>
      <vt:lpstr>CY2_Gross_Margin____WIP_ProjectManager</vt:lpstr>
      <vt:lpstr>CY2_Revised____Complete____YE____Block8</vt:lpstr>
      <vt:lpstr>CY2_Revised____Complete____YE____Division</vt:lpstr>
      <vt:lpstr>CY2_Revised____Complete____YE____WIP_ProjectManager</vt:lpstr>
      <vt:lpstr>Description_Block5</vt:lpstr>
      <vt:lpstr>Description_Block6</vt:lpstr>
      <vt:lpstr>Description_Block8</vt:lpstr>
      <vt:lpstr>Description_Division</vt:lpstr>
      <vt:lpstr>Description_WIP_ProjectManager</vt:lpstr>
      <vt:lpstr>Division_Division</vt:lpstr>
      <vt:lpstr>End_of_Period_Date_EOperiodDate</vt:lpstr>
      <vt:lpstr>Estimated_Cost____Block5</vt:lpstr>
      <vt:lpstr>Estimated_Cost____Block6</vt:lpstr>
      <vt:lpstr>Estimated_Cost_Block5</vt:lpstr>
      <vt:lpstr>Estimated_Cost_Block6</vt:lpstr>
      <vt:lpstr>Estimated_Cost_Block8</vt:lpstr>
      <vt:lpstr>Estimated_Cost_Division</vt:lpstr>
      <vt:lpstr>Estimated_Cost_WIP_ProjectManager</vt:lpstr>
      <vt:lpstr>EStimatedGMPct_WIP_ProjectManager</vt:lpstr>
      <vt:lpstr>estimatedgmpercentage__custom_1__Block5</vt:lpstr>
      <vt:lpstr>estimatedgmpercentage__custom_1__Block6</vt:lpstr>
      <vt:lpstr>estimatedgmpercentage__custom_Block8</vt:lpstr>
      <vt:lpstr>estimatedgmpercentage__custom_Division</vt:lpstr>
      <vt:lpstr>estimatedgmpercentage__custom_WIP_ProjectManager</vt:lpstr>
      <vt:lpstr>GM_______Block5</vt:lpstr>
      <vt:lpstr>GM_______Block6</vt:lpstr>
      <vt:lpstr>GM_____Block5</vt:lpstr>
      <vt:lpstr>GM_____Block6</vt:lpstr>
      <vt:lpstr>GM____Block5</vt:lpstr>
      <vt:lpstr>GM____Block6</vt:lpstr>
      <vt:lpstr>GM____Block8</vt:lpstr>
      <vt:lpstr>GM____Division</vt:lpstr>
      <vt:lpstr>GM____WIP_ProjectManager</vt:lpstr>
      <vt:lpstr>GM__Block5</vt:lpstr>
      <vt:lpstr>GM__Block6</vt:lpstr>
      <vt:lpstr>GM__Block8</vt:lpstr>
      <vt:lpstr>GM__Division</vt:lpstr>
      <vt:lpstr>GM__WIP_ProjectManager</vt:lpstr>
      <vt:lpstr>Gross__Margin_Block5</vt:lpstr>
      <vt:lpstr>Gross__Margin_Block6</vt:lpstr>
      <vt:lpstr>Gross_Margin____Block5</vt:lpstr>
      <vt:lpstr>Gross_Margin____Block6</vt:lpstr>
      <vt:lpstr>Gross_Margin_Block5</vt:lpstr>
      <vt:lpstr>Gross_Margin_Block6</vt:lpstr>
      <vt:lpstr>Gross_Margin_Block8</vt:lpstr>
      <vt:lpstr>Gross_Margin_Division</vt:lpstr>
      <vt:lpstr>Gross_Margin_to_Date_Block5</vt:lpstr>
      <vt:lpstr>Gross_Margin_to_Date_Block6</vt:lpstr>
      <vt:lpstr>Gross_Margin_to_Date_Block8</vt:lpstr>
      <vt:lpstr>Gross_Margin_to_Date_Division</vt:lpstr>
      <vt:lpstr>Gross_Margin_to_Date_WIP_ProjectManager</vt:lpstr>
      <vt:lpstr>Gross_Margin_WIP_ProjectManager</vt:lpstr>
      <vt:lpstr>Job_Number_Block5</vt:lpstr>
      <vt:lpstr>Job_Number_Block6</vt:lpstr>
      <vt:lpstr>Job_Number_Block8</vt:lpstr>
      <vt:lpstr>Job_Number_Division</vt:lpstr>
      <vt:lpstr>Job_Number_WIP_ProjectManager</vt:lpstr>
      <vt:lpstr>JTD_Earned_Revenue__Block5</vt:lpstr>
      <vt:lpstr>JTD_Earned_Revenue__Block6</vt:lpstr>
      <vt:lpstr>JTD_Earned_Revenue__Block8</vt:lpstr>
      <vt:lpstr>JTD_Earned_Revenue__Division</vt:lpstr>
      <vt:lpstr>JTD_Earned_Revenue__WIP_ProjectManager</vt:lpstr>
      <vt:lpstr>Over_Billing_Block5</vt:lpstr>
      <vt:lpstr>Over_Billing_Block6</vt:lpstr>
      <vt:lpstr>Over_Billing_Block8</vt:lpstr>
      <vt:lpstr>Over_Billing_Division</vt:lpstr>
      <vt:lpstr>Over_Billing_WIP_ProjectManager</vt:lpstr>
      <vt:lpstr>percentagecompleteatye__custom_1__Block5</vt:lpstr>
      <vt:lpstr>percentagecompleteatye__custom_1__Block6</vt:lpstr>
      <vt:lpstr>percentagecompleteatye__custom_Block8</vt:lpstr>
      <vt:lpstr>percentagecompleteatye__custom_Division</vt:lpstr>
      <vt:lpstr>percentagecompleteatye__custom_WIP_ProjectManager</vt:lpstr>
      <vt:lpstr>PM_Estimated_GM___Block5</vt:lpstr>
      <vt:lpstr>PM_Estimated_GM___Block6</vt:lpstr>
      <vt:lpstr>PM_Estimated_GM___Block8</vt:lpstr>
      <vt:lpstr>PM_Estimated_GM___Division</vt:lpstr>
      <vt:lpstr>PM_Estimated_GM___WIP_ProjectManager</vt:lpstr>
      <vt:lpstr>pmestimatedgmpercentage__custom_Block5</vt:lpstr>
      <vt:lpstr>pmestimatedgmpercentage__custom_Block6</vt:lpstr>
      <vt:lpstr>pmestimatedgmpercentage__custom_Block8</vt:lpstr>
      <vt:lpstr>pmestimatedgmpercentage__custom_Division</vt:lpstr>
      <vt:lpstr>pmestimatedgmpercentage__custom_WIP_ProjectManager</vt:lpstr>
      <vt:lpstr>Potential_Profit_Block5</vt:lpstr>
      <vt:lpstr>Potential_Profit_Block6</vt:lpstr>
      <vt:lpstr>Potential_Profit_Block8</vt:lpstr>
      <vt:lpstr>Potential_Profit_Division</vt:lpstr>
      <vt:lpstr>Potential_Profit_WIP_ProjectManager</vt:lpstr>
      <vt:lpstr>Prior_Period_Revised___Complete___YE_WIP_ProjectManager</vt:lpstr>
      <vt:lpstr>Prior_Period_Revised_PM_Estimated_GM___WIP_ProjectManager</vt:lpstr>
      <vt:lpstr>Prior_Period_Revised_Potential_Profit_WIP_ProjectManager</vt:lpstr>
      <vt:lpstr>Project_Manager_Block5</vt:lpstr>
      <vt:lpstr>Project_Manager_Block6</vt:lpstr>
      <vt:lpstr>Project_Manager_Block8</vt:lpstr>
      <vt:lpstr>Project_Manager_WIP_ProjectManager</vt:lpstr>
      <vt:lpstr>Revised____Complete____YE____Block5</vt:lpstr>
      <vt:lpstr>Revised____Complete____YE____Block6</vt:lpstr>
      <vt:lpstr>Revised___Complete___YE____Block5</vt:lpstr>
      <vt:lpstr>Revised___Complete___YE____Block6</vt:lpstr>
      <vt:lpstr>Revised___Complete___YE__Block5</vt:lpstr>
      <vt:lpstr>Revised___Complete___YE__Block6</vt:lpstr>
      <vt:lpstr>Revised___Complete___YE__Block8</vt:lpstr>
      <vt:lpstr>Revised___Complete___YE__Division</vt:lpstr>
      <vt:lpstr>Revised___Complete___YE__WIP_ProjectManager</vt:lpstr>
      <vt:lpstr>Revised_PM_Estimated_GM___Block5</vt:lpstr>
      <vt:lpstr>Revised_PM_Estimated_GM___Block6</vt:lpstr>
      <vt:lpstr>Revised_PM_Estimated_GM___Block8</vt:lpstr>
      <vt:lpstr>Revised_PM_Estimated_GM___Division</vt:lpstr>
      <vt:lpstr>Revised_PM_Estimated_GM___WIP_ProjectManager</vt:lpstr>
      <vt:lpstr>Revised_Potential_Profit__Block5</vt:lpstr>
      <vt:lpstr>Revised_Potential_Profit__Block6</vt:lpstr>
      <vt:lpstr>Revised_Potential_Profit__Block8</vt:lpstr>
      <vt:lpstr>Revised_Potential_Profit__Division</vt:lpstr>
      <vt:lpstr>Revised_Potential_Profit__WIP_ProjectManager</vt:lpstr>
      <vt:lpstr>RevisedCY1___Complete_WIP_ProjectManager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Aryan Arya</cp:lastModifiedBy>
  <dcterms:modified xsi:type="dcterms:W3CDTF">2026-02-02T20:18:26Z</dcterms:modified>
</cp:coreProperties>
</file>